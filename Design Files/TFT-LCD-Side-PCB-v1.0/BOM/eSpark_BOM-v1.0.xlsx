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ptec-waterdispensingsystem\Design Files\TFT-LCD-Side-PCB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37" i="1" l="1"/>
  <c r="M37" i="1"/>
  <c r="B37" i="1"/>
  <c r="B36" i="1" l="1"/>
  <c r="Q36" i="1"/>
  <c r="M36" i="1"/>
  <c r="Q35" i="1" l="1"/>
  <c r="M35" i="1"/>
  <c r="B35" i="1"/>
  <c r="Q34" i="1"/>
  <c r="M34" i="1"/>
  <c r="B34" i="1"/>
  <c r="Q33" i="1"/>
  <c r="M33" i="1"/>
  <c r="B33" i="1"/>
  <c r="Q32" i="1"/>
  <c r="M32" i="1"/>
  <c r="B32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M25" i="1"/>
  <c r="B25" i="1"/>
  <c r="Q24" i="1"/>
  <c r="M24" i="1"/>
  <c r="B24" i="1"/>
  <c r="Q23" i="1"/>
  <c r="M23" i="1"/>
  <c r="B23" i="1"/>
  <c r="Q22" i="1"/>
  <c r="M22" i="1"/>
  <c r="B22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 l="1"/>
  <c r="Q10" i="1"/>
  <c r="M11" i="1"/>
  <c r="M10" i="1"/>
  <c r="B11" i="1"/>
  <c r="B10" i="1"/>
  <c r="Q38" i="1" l="1"/>
  <c r="Q39" i="1" s="1"/>
</calcChain>
</file>

<file path=xl/sharedStrings.xml><?xml version="1.0" encoding="utf-8"?>
<sst xmlns="http://schemas.openxmlformats.org/spreadsheetml/2006/main" count="314" uniqueCount="188">
  <si>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</si>
  <si>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</si>
  <si>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</si>
  <si>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</si>
  <si>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</si>
  <si>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</si>
  <si>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</si>
  <si>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</si>
  <si>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</si>
  <si>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</si>
  <si>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</si>
  <si>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USB Connector</t>
  </si>
  <si>
    <t>Pogo Connector</t>
  </si>
  <si>
    <t>JST Right Angle</t>
  </si>
  <si>
    <t>Inductor</t>
  </si>
  <si>
    <t>LED</t>
  </si>
  <si>
    <t>TEST POINT</t>
  </si>
  <si>
    <t>Resistor</t>
  </si>
  <si>
    <t>Solder Bridge</t>
  </si>
  <si>
    <t>Switch</t>
  </si>
  <si>
    <t>Module</t>
  </si>
  <si>
    <t>IC</t>
  </si>
  <si>
    <t>Designator</t>
  </si>
  <si>
    <t>C2</t>
  </si>
  <si>
    <t>C3, C4, C5, C12</t>
  </si>
  <si>
    <t>C6, C10</t>
  </si>
  <si>
    <t>C7</t>
  </si>
  <si>
    <t>C8, C11</t>
  </si>
  <si>
    <t>D1</t>
  </si>
  <si>
    <t>D2, D4</t>
  </si>
  <si>
    <t>D3</t>
  </si>
  <si>
    <t>J1</t>
  </si>
  <si>
    <t>J2</t>
  </si>
  <si>
    <t>J3</t>
  </si>
  <si>
    <t>J4</t>
  </si>
  <si>
    <t>L1</t>
  </si>
  <si>
    <t>LED1</t>
  </si>
  <si>
    <t>P1, P2, P3</t>
  </si>
  <si>
    <t>R1</t>
  </si>
  <si>
    <t>R5</t>
  </si>
  <si>
    <t>R6</t>
  </si>
  <si>
    <t>R8</t>
  </si>
  <si>
    <t>SB1, SB2</t>
  </si>
  <si>
    <t>SW1, SW2</t>
  </si>
  <si>
    <t>U1</t>
  </si>
  <si>
    <t>U2</t>
  </si>
  <si>
    <t>U3</t>
  </si>
  <si>
    <t>Description</t>
  </si>
  <si>
    <t>CAP CER 1UF 25V X5R 0402</t>
  </si>
  <si>
    <t>CAP TANT 100UF 20% 25V 2917</t>
  </si>
  <si>
    <t>CAP CER 0.1UF 25V X5R 0402</t>
  </si>
  <si>
    <t>CAP CER 2.2UF 25V X5R 0603</t>
  </si>
  <si>
    <t>CAP CER 10000PF 50V C0G/NPO 0603</t>
  </si>
  <si>
    <t>CAP CER 10UF 10V X5R 0402</t>
  </si>
  <si>
    <t>TVS DIODE 5VWM 6.3VC DSN0603-2</t>
  </si>
  <si>
    <t>DIODE GEN PURP 100V 300MA SOD123</t>
  </si>
  <si>
    <t>16A 20V 7V 5V@Max Unidirectional SOT-23 TVS ROHS</t>
  </si>
  <si>
    <t>CONN FFC TOP 40POS 0.50MM R/A</t>
  </si>
  <si>
    <t>CONN RCPT USB2.0 MICRO B SMD R/A</t>
  </si>
  <si>
    <t>Pogo Pad 2.5mm 4 Pin</t>
  </si>
  <si>
    <t>1x5P 1 1.25mm Male pin 5 -25℃~+85℃ Surface Mount SMD,P=1.25mm Wire To Board / Wire To Wire Connector ROHS</t>
  </si>
  <si>
    <t>1.55A 4.7uH ±20% SMD Power Inductors ROHS</t>
  </si>
  <si>
    <t>yellow 0603 Light Emitting Diodes (LED) ROHS</t>
  </si>
  <si>
    <t>Test Point ON</t>
  </si>
  <si>
    <t>RES 0 OHM JUMPER 1/10W 0603</t>
  </si>
  <si>
    <t>RES SMD 10K Ohm 1% 1/10W 0603</t>
  </si>
  <si>
    <t>RES 2.7 OHM 1% 1/10W 0603</t>
  </si>
  <si>
    <t>RES 133 OHM 1% 1/16W 0402</t>
  </si>
  <si>
    <t>RES 100 OHM 1% 1/16W 0402</t>
  </si>
  <si>
    <t>Solder Bridge ON</t>
  </si>
  <si>
    <t>No NO 50mA 4.5mm 100000 260gf 12V -30℃~+85℃ 4.5mm 4.3mm Black Round Button Brick nogging SPST SMD Tactile Switches ROHS</t>
  </si>
  <si>
    <t>SMD MODULE, ESP32-S3R8 WITH 3.3V</t>
  </si>
  <si>
    <t>SPX3819 Series 3.3 V 500 mA Fixed Output SMT LDO Regulator - SOT-23-5</t>
  </si>
  <si>
    <t>IC LED DRVR RGLTR PWM SOT23-6</t>
  </si>
  <si>
    <t>Footprint</t>
  </si>
  <si>
    <t>Cap-0402</t>
  </si>
  <si>
    <t>Case-E</t>
  </si>
  <si>
    <t>Cap-0603</t>
  </si>
  <si>
    <t>DSN0603-2</t>
  </si>
  <si>
    <t>SOD-123</t>
  </si>
  <si>
    <t>Sot-23</t>
  </si>
  <si>
    <t>FH12A-40S-0.5SH(55)</t>
  </si>
  <si>
    <t>1.25-5PWB</t>
  </si>
  <si>
    <t>SLO252012F4R7MTT</t>
  </si>
  <si>
    <t>LED-0603</t>
  </si>
  <si>
    <t>Res-0603</t>
  </si>
  <si>
    <t>Res-0402</t>
  </si>
  <si>
    <t>Solder Bridge 0402</t>
  </si>
  <si>
    <t>TS-1109S-C-B</t>
  </si>
  <si>
    <t>SOT-23-5</t>
  </si>
  <si>
    <t>SOT-23-6</t>
  </si>
  <si>
    <t>Manufacturer Part Number</t>
  </si>
  <si>
    <t>CC0402KRX5R8BB105</t>
  </si>
  <si>
    <t>TAJE107M025RNJ</t>
  </si>
  <si>
    <t>CC0402KRX5R8BB104</t>
  </si>
  <si>
    <t>CC0603KRX5R8BB225</t>
  </si>
  <si>
    <t>CC0603JRNPO9BN103</t>
  </si>
  <si>
    <t>CC0402MRX5R6BB106</t>
  </si>
  <si>
    <t>PESD5V0H1BSFYL</t>
  </si>
  <si>
    <t>1N4148W-7-F</t>
  </si>
  <si>
    <t>ESD5302F-3/TR</t>
  </si>
  <si>
    <t>10118194-0001LF</t>
  </si>
  <si>
    <t>POGO Connector 4 Pin</t>
  </si>
  <si>
    <t>NCD0603Y2</t>
  </si>
  <si>
    <t>RC0603JR-070RL</t>
  </si>
  <si>
    <t>RC0603FR-0710KL</t>
  </si>
  <si>
    <t>RC0603FR-072R7L</t>
  </si>
  <si>
    <t>RC0402FR-07133RL</t>
  </si>
  <si>
    <t>RC0402FR-07100RL</t>
  </si>
  <si>
    <t>ESP32-S3-WROOM-1-N16R8</t>
  </si>
  <si>
    <t>SPX3819M5-L-3-3/TR</t>
  </si>
  <si>
    <t>AP3019AKTR-G1</t>
  </si>
  <si>
    <t>Manufacturer</t>
  </si>
  <si>
    <t>Yageo</t>
  </si>
  <si>
    <t>Kyocera AVX</t>
  </si>
  <si>
    <t>Nexperia</t>
  </si>
  <si>
    <t>Diodes</t>
  </si>
  <si>
    <t>WILLSEMI</t>
  </si>
  <si>
    <t>Hirose</t>
  </si>
  <si>
    <t>Amphenol FCI</t>
  </si>
  <si>
    <t>DEALON</t>
  </si>
  <si>
    <t>Sunltech Tech</t>
  </si>
  <si>
    <t>Foshan NationStar Optoelectronics</t>
  </si>
  <si>
    <t>XKB Connectivity</t>
  </si>
  <si>
    <t>Espressif Systems</t>
  </si>
  <si>
    <t>MaxLinear</t>
  </si>
  <si>
    <t>LCSC Part Number</t>
  </si>
  <si>
    <t>C326568</t>
  </si>
  <si>
    <t>C7230</t>
  </si>
  <si>
    <t>C106256</t>
  </si>
  <si>
    <t>C309478</t>
  </si>
  <si>
    <t>C389113</t>
  </si>
  <si>
    <t>C962143</t>
  </si>
  <si>
    <t>C477989</t>
  </si>
  <si>
    <t>C83528</t>
  </si>
  <si>
    <t>C239643</t>
  </si>
  <si>
    <t>C132563</t>
  </si>
  <si>
    <t>C2905012</t>
  </si>
  <si>
    <t>C275675</t>
  </si>
  <si>
    <t>C89811</t>
  </si>
  <si>
    <t>C95177</t>
  </si>
  <si>
    <t>C98220</t>
  </si>
  <si>
    <t>C309560</t>
  </si>
  <si>
    <t>C106232</t>
  </si>
  <si>
    <t>C381037</t>
  </si>
  <si>
    <t>C2913202</t>
  </si>
  <si>
    <t>C9055</t>
  </si>
  <si>
    <t>C44956</t>
  </si>
  <si>
    <t>1uF</t>
  </si>
  <si>
    <t>100uF</t>
  </si>
  <si>
    <t>100nF</t>
  </si>
  <si>
    <t>2.2uF</t>
  </si>
  <si>
    <t>10nF</t>
  </si>
  <si>
    <t>10uF</t>
  </si>
  <si>
    <t>4.7uH</t>
  </si>
  <si>
    <t>0R</t>
  </si>
  <si>
    <t>10K</t>
  </si>
  <si>
    <t>2.7R</t>
  </si>
  <si>
    <t>133R</t>
  </si>
  <si>
    <t>100R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</si>
  <si>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</si>
  <si>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</si>
  <si>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</si>
  <si>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</si>
  <si>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</si>
  <si>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</si>
  <si>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</si>
  <si>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</si>
  <si>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</si>
  <si>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</si>
  <si>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LED Connector</t>
  </si>
  <si>
    <t>Custom</t>
  </si>
  <si>
    <t>-</t>
  </si>
  <si>
    <t>LCSC</t>
  </si>
  <si>
    <t>Bill of Materials for Project [TFT-LCD-Side-PCB-v1.0.]</t>
  </si>
  <si>
    <t>TFT-LCD-Side-PCB-v1.0.</t>
  </si>
  <si>
    <t>C506795</t>
  </si>
  <si>
    <t>C327373</t>
  </si>
  <si>
    <t>R2, R3, R4, R7, R9, R10</t>
  </si>
  <si>
    <t>C1, C9, C13</t>
  </si>
  <si>
    <t>LED Display smaller size</t>
  </si>
  <si>
    <t>480x480 TFT LCD</t>
  </si>
  <si>
    <t>DWS</t>
  </si>
  <si>
    <t>Aliexpress</t>
  </si>
  <si>
    <t>Peripheral</t>
  </si>
  <si>
    <t>LDR125-157128-150-5P</t>
  </si>
  <si>
    <t xml:space="preserve">DEALON </t>
  </si>
  <si>
    <t>C2998976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</si>
</sst>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18" fillId="2" borderId="17" xfId="0" quotePrefix="1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165" fontId="24" fillId="2" borderId="16" xfId="0" applyNumberFormat="1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1" fillId="2" borderId="1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8" fillId="2" borderId="0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Switching-Diode_Diodes-Incorporated-1N4148W-7-F_C83528.html" TargetMode="External"/><Relationship Id="rId13" Type="http://schemas.openxmlformats.org/officeDocument/2006/relationships/hyperlink" Target="https://www.lcsc.com/product-detail/Power-Inductors_Sunltech-Tech-SLO252012F4R7MTT_C275675.html" TargetMode="External"/><Relationship Id="rId18" Type="http://schemas.openxmlformats.org/officeDocument/2006/relationships/hyperlink" Target="https://www.lcsc.com/product-detail/Chip-Resistor-Surface-Mount_YAGEO-RC0402FR-07133RL_C327373.html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lcsc.com/product-detail/Multilayer-Ceramic-Capacitors-MLCC-SMD-SMT_YAGEO-CC0402KRX5R8BB104_C106256.html" TargetMode="External"/><Relationship Id="rId21" Type="http://schemas.openxmlformats.org/officeDocument/2006/relationships/hyperlink" Target="https://www.lcsc.com/product-detail/WiFi-Modules_Espressif-Systems-ESP32-S3-WROOM-1-N16R8_C2913202.html" TargetMode="External"/><Relationship Id="rId7" Type="http://schemas.openxmlformats.org/officeDocument/2006/relationships/hyperlink" Target="https://www.lcsc.com/product-detail/ESD-Protection-Devices_Nexperia-PESD5V0H1BSF_C477989.html" TargetMode="External"/><Relationship Id="rId12" Type="http://schemas.openxmlformats.org/officeDocument/2006/relationships/hyperlink" Target="https://www.lcsc.com/product-detail/Wire-To-Board-Wire-To-Wire-Connector_DEALON-1-25-5PWB_C2905012.html" TargetMode="External"/><Relationship Id="rId17" Type="http://schemas.openxmlformats.org/officeDocument/2006/relationships/hyperlink" Target="https://www.lcsc.com/product-detail/Chip-Resistor-Surface-Mount_YAGEO-RC0603FR-072R7L_C309560.html" TargetMode="External"/><Relationship Id="rId25" Type="http://schemas.openxmlformats.org/officeDocument/2006/relationships/hyperlink" Target="https://www.lcsc.com/product-detail/Network-cables_DEALON-LDR125-157128-150-5P_C2998976.html" TargetMode="External"/><Relationship Id="rId2" Type="http://schemas.openxmlformats.org/officeDocument/2006/relationships/hyperlink" Target="https://www.lcsc.com/product-detail/Multilayer-Ceramic-Capacitors-MLCC-SMD-SMT_YAGEO-CC0402KRX5R8BB105_C326568.html" TargetMode="External"/><Relationship Id="rId16" Type="http://schemas.openxmlformats.org/officeDocument/2006/relationships/hyperlink" Target="https://www.lcsc.com/product-detail/Chip-Resistor-Surface-Mount_YAGEO-RC0603FR-0710KL_C98220.html" TargetMode="External"/><Relationship Id="rId20" Type="http://schemas.openxmlformats.org/officeDocument/2006/relationships/hyperlink" Target="https://www.lcsc.com/product-detail/Tactile-Switches_XKB-Connectivity-TS-1109S-C-B_C381037.html" TargetMode="External"/><Relationship Id="rId1" Type="http://schemas.openxmlformats.org/officeDocument/2006/relationships/hyperlink" Target="https://www.lcsc.com/product-detail/Tantalum-Capacitors_Kyocera-AVX-TAJE107M025RNJ_C7230.html" TargetMode="External"/><Relationship Id="rId6" Type="http://schemas.openxmlformats.org/officeDocument/2006/relationships/hyperlink" Target="https://www.lcsc.com/product-detail/Multilayer-Ceramic-Capacitors-MLCC-SMD-SMT_YAGEO-CC0402MRX5R6BB106_C962143.html" TargetMode="External"/><Relationship Id="rId11" Type="http://schemas.openxmlformats.org/officeDocument/2006/relationships/hyperlink" Target="https://www.lcsc.com/product-detail/USB-Connectors_Amphenol-ICC-10118194-0001LF_C132563.html" TargetMode="External"/><Relationship Id="rId24" Type="http://schemas.openxmlformats.org/officeDocument/2006/relationships/hyperlink" Target="https://vi.aliexpress.com/item/1005005230886441.html" TargetMode="External"/><Relationship Id="rId5" Type="http://schemas.openxmlformats.org/officeDocument/2006/relationships/hyperlink" Target="https://www.lcsc.com/product-detail/Multilayer-Ceramic-Capacitors-MLCC-SMD-SMT_YAGEO-CC0603JRNPO9BN103_C389113.html" TargetMode="External"/><Relationship Id="rId15" Type="http://schemas.openxmlformats.org/officeDocument/2006/relationships/hyperlink" Target="https://www.lcsc.com/product-detail/Chip-Resistor-Surface-Mount_YAGEO-RC0603JR-070RL_C95177.html" TargetMode="External"/><Relationship Id="rId23" Type="http://schemas.openxmlformats.org/officeDocument/2006/relationships/hyperlink" Target="https://www.lcsc.com/product-detail/LED-Drivers_Diodes-Incorporated-AP3019AKTR-G1_C44956.html" TargetMode="External"/><Relationship Id="rId10" Type="http://schemas.openxmlformats.org/officeDocument/2006/relationships/hyperlink" Target="https://www.lcsc.com/product-detail/FFC-FPC-Connectors_HRS-Hirose-FH12A-40S-0-5SH-55_C506795.html" TargetMode="External"/><Relationship Id="rId19" Type="http://schemas.openxmlformats.org/officeDocument/2006/relationships/hyperlink" Target="https://www.lcsc.com/product-detail/Chip-Resistor-Surface-Mount_YAGEO-RC0402FR-07100RL_C106232.html" TargetMode="External"/><Relationship Id="rId4" Type="http://schemas.openxmlformats.org/officeDocument/2006/relationships/hyperlink" Target="https://www.lcsc.com/product-detail/Multilayer-Ceramic-Capacitors-MLCC-SMD-SMT_YAGEO-CC0603KRX5R8BB225_C309478.html" TargetMode="External"/><Relationship Id="rId9" Type="http://schemas.openxmlformats.org/officeDocument/2006/relationships/hyperlink" Target="https://www.lcsc.com/product-detail/TVS_WILLSEMI-Will-Semicon-ESD5302F-3-TR_C239643.html" TargetMode="External"/><Relationship Id="rId14" Type="http://schemas.openxmlformats.org/officeDocument/2006/relationships/hyperlink" Target="https://www.lcsc.com/product-detail/Light-Emitting-Diodes-LED_Foshan-NationStar-Optoelectronics-NCD0603Y2_C89811.html" TargetMode="External"/><Relationship Id="rId22" Type="http://schemas.openxmlformats.org/officeDocument/2006/relationships/hyperlink" Target="https://www.lcsc.com/product-detail/Linear-Voltage-Regulators-LDO_MaxLinear-SPX3819M5-L-3-3-TR_C9055.html" TargetMode="External"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39"/>
  <sheetViews>
    <sheetView tabSelected="1" workbookViewId="0">
      <selection activeCell="F16" sqref="F16"/>
    </sheetView>
  </sheetViews>
  <sheetFormatPr defaultRowHeight="15" x14ac:dyDescent="0.25"/>
  <cols>
    <col min="2" max="2" width="3.140625" style="26" customWidth="1"/>
    <col min="3" max="3" width="21.140625" style="26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0.85546875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1"/>
      <c r="L1" s="71"/>
      <c r="M1" s="71"/>
      <c r="N1" s="71"/>
      <c r="O1" s="71"/>
      <c r="P1" s="71"/>
      <c r="Q1" s="71"/>
      <c r="R1" s="71"/>
      <c r="S1" s="72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174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175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3"/>
    </row>
    <row r="4" spans="1:19" x14ac:dyDescent="0.25">
      <c r="A4" s="1"/>
      <c r="B4" s="22"/>
      <c r="C4" s="32"/>
      <c r="D4" s="13" t="s">
        <v>2</v>
      </c>
      <c r="E4" s="13"/>
      <c r="F4" s="57" t="s">
        <v>175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4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4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4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4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4"/>
    </row>
    <row r="9" spans="1:19" ht="15.75" thickBot="1" x14ac:dyDescent="0.3">
      <c r="A9" s="1"/>
      <c r="B9" s="30" t="s">
        <v>4</v>
      </c>
      <c r="C9" s="30" t="s">
        <v>8</v>
      </c>
      <c r="D9" s="30" t="s">
        <v>22</v>
      </c>
      <c r="E9" s="30" t="s">
        <v>47</v>
      </c>
      <c r="F9" s="30" t="s">
        <v>74</v>
      </c>
      <c r="G9" s="30" t="s">
        <v>91</v>
      </c>
      <c r="H9" s="30" t="s">
        <v>112</v>
      </c>
      <c r="I9" s="30" t="s">
        <v>161</v>
      </c>
      <c r="J9" s="30" t="s">
        <v>126</v>
      </c>
      <c r="K9" s="30" t="s">
        <v>162</v>
      </c>
      <c r="L9" s="30" t="s">
        <v>160</v>
      </c>
      <c r="M9" s="30" t="s">
        <v>163</v>
      </c>
      <c r="N9" s="30" t="s">
        <v>164</v>
      </c>
      <c r="O9" s="30" t="s">
        <v>165</v>
      </c>
      <c r="P9" s="30" t="s">
        <v>166</v>
      </c>
      <c r="Q9" s="30" t="s">
        <v>167</v>
      </c>
      <c r="R9" s="30" t="s">
        <v>168</v>
      </c>
      <c r="S9" s="30" t="s">
        <v>169</v>
      </c>
    </row>
    <row r="10" spans="1:19" x14ac:dyDescent="0.25">
      <c r="A10" s="1"/>
      <c r="B10" s="46">
        <f>ROW(B10) - ROW($B$9)</f>
        <v>1</v>
      </c>
      <c r="C10" s="53" t="s">
        <v>9</v>
      </c>
      <c r="D10" s="37" t="s">
        <v>179</v>
      </c>
      <c r="E10" s="37" t="s">
        <v>48</v>
      </c>
      <c r="F10" s="37" t="s">
        <v>75</v>
      </c>
      <c r="G10" s="37" t="s">
        <v>92</v>
      </c>
      <c r="H10" s="37" t="s">
        <v>113</v>
      </c>
      <c r="I10" s="37" t="s">
        <v>172</v>
      </c>
      <c r="J10" s="37" t="s">
        <v>127</v>
      </c>
      <c r="K10" s="37" t="s">
        <v>148</v>
      </c>
      <c r="L10" s="37">
        <v>3</v>
      </c>
      <c r="M10" s="37">
        <f>L10*5</f>
        <v>15</v>
      </c>
      <c r="N10" s="37">
        <v>50</v>
      </c>
      <c r="O10" s="61" t="s">
        <v>173</v>
      </c>
      <c r="P10" s="38">
        <v>8.8999999999999999E-3</v>
      </c>
      <c r="Q10" s="38">
        <f>P10*N10</f>
        <v>0.44500000000000001</v>
      </c>
      <c r="R10" s="37"/>
      <c r="S10" s="50"/>
    </row>
    <row r="11" spans="1:19" x14ac:dyDescent="0.25">
      <c r="A11" s="1"/>
      <c r="B11" s="47">
        <f t="shared" ref="B11:B37" si="0">ROW(B11) - ROW($B$9)</f>
        <v>2</v>
      </c>
      <c r="C11" s="53" t="s">
        <v>9</v>
      </c>
      <c r="D11" s="51" t="s">
        <v>23</v>
      </c>
      <c r="E11" s="51" t="s">
        <v>49</v>
      </c>
      <c r="F11" s="51" t="s">
        <v>76</v>
      </c>
      <c r="G11" s="51" t="s">
        <v>93</v>
      </c>
      <c r="H11" s="51" t="s">
        <v>114</v>
      </c>
      <c r="I11" s="51" t="s">
        <v>172</v>
      </c>
      <c r="J11" s="51" t="s">
        <v>128</v>
      </c>
      <c r="K11" s="51" t="s">
        <v>149</v>
      </c>
      <c r="L11" s="51">
        <v>1</v>
      </c>
      <c r="M11" s="51">
        <f t="shared" ref="M11" si="1">L11*5</f>
        <v>5</v>
      </c>
      <c r="N11" s="51">
        <v>6</v>
      </c>
      <c r="O11" s="60" t="s">
        <v>173</v>
      </c>
      <c r="P11" s="52">
        <v>1.3523000000000001</v>
      </c>
      <c r="Q11" s="52">
        <f t="shared" ref="Q11" si="2">P11*N11</f>
        <v>8.1138000000000012</v>
      </c>
      <c r="R11" s="51"/>
      <c r="S11" s="51"/>
    </row>
    <row r="12" spans="1:19" x14ac:dyDescent="0.25">
      <c r="A12" s="1"/>
      <c r="B12" s="46">
        <f>ROW(B12) - ROW($B$9)</f>
        <v>3</v>
      </c>
      <c r="C12" s="53" t="s">
        <v>9</v>
      </c>
      <c r="D12" s="37" t="s">
        <v>24</v>
      </c>
      <c r="E12" s="37" t="s">
        <v>50</v>
      </c>
      <c r="F12" s="37" t="s">
        <v>75</v>
      </c>
      <c r="G12" s="37" t="s">
        <v>94</v>
      </c>
      <c r="H12" s="37" t="s">
        <v>113</v>
      </c>
      <c r="I12" s="51" t="s">
        <v>172</v>
      </c>
      <c r="J12" s="37" t="s">
        <v>129</v>
      </c>
      <c r="K12" s="37" t="s">
        <v>150</v>
      </c>
      <c r="L12" s="37">
        <v>4</v>
      </c>
      <c r="M12" s="37">
        <f>L12*5</f>
        <v>20</v>
      </c>
      <c r="N12" s="37">
        <v>100</v>
      </c>
      <c r="O12" s="61" t="s">
        <v>173</v>
      </c>
      <c r="P12" s="38">
        <v>1.9E-3</v>
      </c>
      <c r="Q12" s="38">
        <f>P12*N12</f>
        <v>0.19</v>
      </c>
      <c r="R12" s="37"/>
      <c r="S12" s="59"/>
    </row>
    <row r="13" spans="1:19" x14ac:dyDescent="0.25">
      <c r="A13" s="1"/>
      <c r="B13" s="47">
        <f t="shared" si="0"/>
        <v>4</v>
      </c>
      <c r="C13" s="53" t="s">
        <v>9</v>
      </c>
      <c r="D13" s="51" t="s">
        <v>25</v>
      </c>
      <c r="E13" s="51" t="s">
        <v>51</v>
      </c>
      <c r="F13" s="51" t="s">
        <v>77</v>
      </c>
      <c r="G13" s="51" t="s">
        <v>95</v>
      </c>
      <c r="H13" s="51" t="s">
        <v>113</v>
      </c>
      <c r="I13" s="51" t="s">
        <v>172</v>
      </c>
      <c r="J13" s="51" t="s">
        <v>130</v>
      </c>
      <c r="K13" s="51" t="s">
        <v>151</v>
      </c>
      <c r="L13" s="51">
        <v>2</v>
      </c>
      <c r="M13" s="51">
        <f t="shared" ref="M13" si="3">L13*5</f>
        <v>10</v>
      </c>
      <c r="N13" s="51">
        <v>50</v>
      </c>
      <c r="O13" s="60" t="s">
        <v>173</v>
      </c>
      <c r="P13" s="52">
        <v>1.8499999999999999E-2</v>
      </c>
      <c r="Q13" s="52">
        <f t="shared" ref="Q13" si="4">P13*N13</f>
        <v>0.92499999999999993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9</v>
      </c>
      <c r="D14" s="37" t="s">
        <v>26</v>
      </c>
      <c r="E14" s="37" t="s">
        <v>52</v>
      </c>
      <c r="F14" s="37" t="s">
        <v>77</v>
      </c>
      <c r="G14" s="37" t="s">
        <v>96</v>
      </c>
      <c r="H14" s="37" t="s">
        <v>113</v>
      </c>
      <c r="I14" s="51" t="s">
        <v>172</v>
      </c>
      <c r="J14" s="37" t="s">
        <v>131</v>
      </c>
      <c r="K14" s="37" t="s">
        <v>152</v>
      </c>
      <c r="L14" s="37">
        <v>1</v>
      </c>
      <c r="M14" s="37">
        <f>L14*5</f>
        <v>5</v>
      </c>
      <c r="N14" s="37">
        <v>50</v>
      </c>
      <c r="O14" s="60" t="s">
        <v>173</v>
      </c>
      <c r="P14" s="38">
        <v>1.49E-2</v>
      </c>
      <c r="Q14" s="38">
        <f>P14*N14</f>
        <v>0.745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9</v>
      </c>
      <c r="D15" s="51" t="s">
        <v>27</v>
      </c>
      <c r="E15" s="51" t="s">
        <v>53</v>
      </c>
      <c r="F15" s="51" t="s">
        <v>75</v>
      </c>
      <c r="G15" s="51" t="s">
        <v>97</v>
      </c>
      <c r="H15" s="51" t="s">
        <v>113</v>
      </c>
      <c r="I15" s="51" t="s">
        <v>172</v>
      </c>
      <c r="J15" s="51" t="s">
        <v>132</v>
      </c>
      <c r="K15" s="51" t="s">
        <v>153</v>
      </c>
      <c r="L15" s="51">
        <v>2</v>
      </c>
      <c r="M15" s="51">
        <f t="shared" ref="M15" si="5">L15*5</f>
        <v>10</v>
      </c>
      <c r="N15" s="51">
        <v>20</v>
      </c>
      <c r="O15" s="60" t="s">
        <v>173</v>
      </c>
      <c r="P15" s="52">
        <v>2.4400000000000002E-2</v>
      </c>
      <c r="Q15" s="52">
        <f t="shared" ref="Q15" si="6">P15*N15</f>
        <v>0.48800000000000004</v>
      </c>
      <c r="R15" s="51"/>
      <c r="S15" s="59"/>
    </row>
    <row r="16" spans="1:19" x14ac:dyDescent="0.25">
      <c r="A16" s="1"/>
      <c r="B16" s="47">
        <f t="shared" si="0"/>
        <v>7</v>
      </c>
      <c r="C16" s="54" t="s">
        <v>10</v>
      </c>
      <c r="D16" s="51" t="s">
        <v>28</v>
      </c>
      <c r="E16" s="51" t="s">
        <v>54</v>
      </c>
      <c r="F16" s="51" t="s">
        <v>78</v>
      </c>
      <c r="G16" s="51" t="s">
        <v>98</v>
      </c>
      <c r="H16" s="51" t="s">
        <v>115</v>
      </c>
      <c r="I16" s="51" t="s">
        <v>172</v>
      </c>
      <c r="J16" s="51" t="s">
        <v>133</v>
      </c>
      <c r="K16" s="51" t="s">
        <v>172</v>
      </c>
      <c r="L16" s="51">
        <v>1</v>
      </c>
      <c r="M16" s="51">
        <f t="shared" ref="M16" si="7">L16*5</f>
        <v>5</v>
      </c>
      <c r="N16" s="51">
        <v>10</v>
      </c>
      <c r="O16" s="60" t="s">
        <v>173</v>
      </c>
      <c r="P16" s="52">
        <v>6.1699999999999998E-2</v>
      </c>
      <c r="Q16" s="52">
        <f t="shared" ref="Q16" si="8">P16*N16</f>
        <v>0.61699999999999999</v>
      </c>
      <c r="R16" s="51"/>
      <c r="S16" s="59"/>
    </row>
    <row r="17" spans="1:19" x14ac:dyDescent="0.25">
      <c r="A17" s="1"/>
      <c r="B17" s="46">
        <f>ROW(B17) - ROW($B$9)</f>
        <v>8</v>
      </c>
      <c r="C17" s="53" t="s">
        <v>10</v>
      </c>
      <c r="D17" s="37" t="s">
        <v>29</v>
      </c>
      <c r="E17" s="37" t="s">
        <v>55</v>
      </c>
      <c r="F17" s="37" t="s">
        <v>79</v>
      </c>
      <c r="G17" s="37" t="s">
        <v>99</v>
      </c>
      <c r="H17" s="37" t="s">
        <v>116</v>
      </c>
      <c r="I17" s="51" t="s">
        <v>172</v>
      </c>
      <c r="J17" s="37" t="s">
        <v>134</v>
      </c>
      <c r="K17" s="37" t="s">
        <v>172</v>
      </c>
      <c r="L17" s="37">
        <v>2</v>
      </c>
      <c r="M17" s="37">
        <f>L17*5</f>
        <v>10</v>
      </c>
      <c r="N17" s="37">
        <v>20</v>
      </c>
      <c r="O17" s="60" t="s">
        <v>173</v>
      </c>
      <c r="P17" s="38">
        <v>1.0500000000000001E-2</v>
      </c>
      <c r="Q17" s="38">
        <f>P17*N17</f>
        <v>0.21000000000000002</v>
      </c>
      <c r="R17" s="37"/>
      <c r="S17" s="59"/>
    </row>
    <row r="18" spans="1:19" ht="24" x14ac:dyDescent="0.25">
      <c r="A18" s="1"/>
      <c r="B18" s="47">
        <f t="shared" si="0"/>
        <v>9</v>
      </c>
      <c r="C18" s="54" t="s">
        <v>10</v>
      </c>
      <c r="D18" s="51" t="s">
        <v>30</v>
      </c>
      <c r="E18" s="51" t="s">
        <v>56</v>
      </c>
      <c r="F18" s="51" t="s">
        <v>80</v>
      </c>
      <c r="G18" s="51" t="s">
        <v>100</v>
      </c>
      <c r="H18" s="51" t="s">
        <v>117</v>
      </c>
      <c r="I18" s="51" t="s">
        <v>172</v>
      </c>
      <c r="J18" s="51" t="s">
        <v>135</v>
      </c>
      <c r="K18" s="51" t="s">
        <v>172</v>
      </c>
      <c r="L18" s="51">
        <v>1</v>
      </c>
      <c r="M18" s="51">
        <f t="shared" ref="M18" si="9">L18*5</f>
        <v>5</v>
      </c>
      <c r="N18" s="51">
        <v>10</v>
      </c>
      <c r="O18" s="60" t="s">
        <v>173</v>
      </c>
      <c r="P18" s="52">
        <v>8.6400000000000005E-2</v>
      </c>
      <c r="Q18" s="52">
        <f t="shared" ref="Q18" si="10">P18*N18</f>
        <v>0.8640000000000001</v>
      </c>
      <c r="R18" s="51"/>
      <c r="S18" s="59"/>
    </row>
    <row r="19" spans="1:19" x14ac:dyDescent="0.25">
      <c r="A19" s="1"/>
      <c r="B19" s="46">
        <f>ROW(B19) - ROW($B$9)</f>
        <v>10</v>
      </c>
      <c r="C19" s="54" t="s">
        <v>170</v>
      </c>
      <c r="D19" s="37" t="s">
        <v>31</v>
      </c>
      <c r="E19" s="37" t="s">
        <v>57</v>
      </c>
      <c r="F19" s="51" t="s">
        <v>171</v>
      </c>
      <c r="G19" s="37" t="s">
        <v>81</v>
      </c>
      <c r="H19" s="37" t="s">
        <v>118</v>
      </c>
      <c r="I19" s="51" t="s">
        <v>172</v>
      </c>
      <c r="J19" s="37" t="s">
        <v>176</v>
      </c>
      <c r="K19" s="37" t="s">
        <v>172</v>
      </c>
      <c r="L19" s="37">
        <v>1</v>
      </c>
      <c r="M19" s="37">
        <f>L19*5</f>
        <v>5</v>
      </c>
      <c r="N19" s="37">
        <v>6</v>
      </c>
      <c r="O19" s="60" t="s">
        <v>173</v>
      </c>
      <c r="P19" s="38">
        <v>0.87190000000000001</v>
      </c>
      <c r="Q19" s="38">
        <f>P19*N19</f>
        <v>5.2313999999999998</v>
      </c>
      <c r="R19" s="37"/>
      <c r="S19" s="59"/>
    </row>
    <row r="20" spans="1:19" x14ac:dyDescent="0.25">
      <c r="A20" s="1"/>
      <c r="B20" s="47">
        <f t="shared" si="0"/>
        <v>11</v>
      </c>
      <c r="C20" s="54" t="s">
        <v>11</v>
      </c>
      <c r="D20" s="51" t="s">
        <v>32</v>
      </c>
      <c r="E20" s="51" t="s">
        <v>58</v>
      </c>
      <c r="F20" s="51" t="s">
        <v>171</v>
      </c>
      <c r="G20" s="51" t="s">
        <v>101</v>
      </c>
      <c r="H20" s="51" t="s">
        <v>119</v>
      </c>
      <c r="I20" s="51" t="s">
        <v>172</v>
      </c>
      <c r="J20" s="51" t="s">
        <v>136</v>
      </c>
      <c r="K20" s="62" t="s">
        <v>172</v>
      </c>
      <c r="L20" s="51">
        <v>1</v>
      </c>
      <c r="M20" s="51">
        <f t="shared" ref="M20" si="11">L20*5</f>
        <v>5</v>
      </c>
      <c r="N20" s="51">
        <v>10</v>
      </c>
      <c r="O20" s="60" t="s">
        <v>173</v>
      </c>
      <c r="P20" s="52">
        <v>0.20330000000000001</v>
      </c>
      <c r="Q20" s="52">
        <f t="shared" ref="Q20" si="12">P20*N20</f>
        <v>2.0329999999999999</v>
      </c>
      <c r="R20" s="51"/>
      <c r="S20" s="59"/>
    </row>
    <row r="21" spans="1:19" x14ac:dyDescent="0.25">
      <c r="A21" s="1"/>
      <c r="B21" s="46">
        <f>ROW(B21) - ROW($B$9)</f>
        <v>12</v>
      </c>
      <c r="C21" s="53" t="s">
        <v>12</v>
      </c>
      <c r="D21" s="37" t="s">
        <v>33</v>
      </c>
      <c r="E21" s="37" t="s">
        <v>59</v>
      </c>
      <c r="F21" s="51" t="s">
        <v>171</v>
      </c>
      <c r="G21" s="37" t="s">
        <v>102</v>
      </c>
      <c r="H21" s="37" t="s">
        <v>172</v>
      </c>
      <c r="I21" s="37" t="s">
        <v>172</v>
      </c>
      <c r="J21" s="37" t="s">
        <v>172</v>
      </c>
      <c r="K21" s="37" t="s">
        <v>172</v>
      </c>
      <c r="L21" s="37">
        <v>1</v>
      </c>
      <c r="M21" s="37">
        <f>L21*5</f>
        <v>5</v>
      </c>
      <c r="N21" s="37" t="s">
        <v>172</v>
      </c>
      <c r="O21" s="51" t="s">
        <v>172</v>
      </c>
      <c r="P21" s="38" t="s">
        <v>172</v>
      </c>
      <c r="Q21" s="38" t="s">
        <v>172</v>
      </c>
      <c r="R21" s="37"/>
      <c r="S21" s="59"/>
    </row>
    <row r="22" spans="1:19" ht="48" x14ac:dyDescent="0.25">
      <c r="A22" s="1"/>
      <c r="B22" s="47">
        <f t="shared" si="0"/>
        <v>13</v>
      </c>
      <c r="C22" s="54" t="s">
        <v>13</v>
      </c>
      <c r="D22" s="51" t="s">
        <v>34</v>
      </c>
      <c r="E22" s="51" t="s">
        <v>60</v>
      </c>
      <c r="F22" s="51" t="s">
        <v>171</v>
      </c>
      <c r="G22" s="51" t="s">
        <v>82</v>
      </c>
      <c r="H22" s="51" t="s">
        <v>120</v>
      </c>
      <c r="I22" s="51" t="s">
        <v>172</v>
      </c>
      <c r="J22" s="51" t="s">
        <v>137</v>
      </c>
      <c r="K22" s="51" t="s">
        <v>172</v>
      </c>
      <c r="L22" s="51">
        <v>1</v>
      </c>
      <c r="M22" s="51">
        <f t="shared" ref="M22" si="13">L22*5</f>
        <v>5</v>
      </c>
      <c r="N22" s="51">
        <v>10</v>
      </c>
      <c r="O22" s="60" t="s">
        <v>173</v>
      </c>
      <c r="P22" s="52">
        <v>3.4299999999999997E-2</v>
      </c>
      <c r="Q22" s="52">
        <f t="shared" ref="Q22" si="14">P22*N22</f>
        <v>0.34299999999999997</v>
      </c>
      <c r="R22" s="51"/>
      <c r="S22" s="59"/>
    </row>
    <row r="23" spans="1:19" ht="24" x14ac:dyDescent="0.25">
      <c r="A23" s="1"/>
      <c r="B23" s="46">
        <f>ROW(B23) - ROW($B$9)</f>
        <v>14</v>
      </c>
      <c r="C23" s="53" t="s">
        <v>14</v>
      </c>
      <c r="D23" s="37" t="s">
        <v>35</v>
      </c>
      <c r="E23" s="37" t="s">
        <v>61</v>
      </c>
      <c r="F23" s="51" t="s">
        <v>171</v>
      </c>
      <c r="G23" s="37" t="s">
        <v>83</v>
      </c>
      <c r="H23" s="37" t="s">
        <v>121</v>
      </c>
      <c r="I23" s="37" t="s">
        <v>172</v>
      </c>
      <c r="J23" s="37" t="s">
        <v>138</v>
      </c>
      <c r="K23" s="37" t="s">
        <v>154</v>
      </c>
      <c r="L23" s="37">
        <v>1</v>
      </c>
      <c r="M23" s="37">
        <f>L23*5</f>
        <v>5</v>
      </c>
      <c r="N23" s="37">
        <v>10</v>
      </c>
      <c r="O23" s="60" t="s">
        <v>173</v>
      </c>
      <c r="P23" s="38">
        <v>7.2999999999999995E-2</v>
      </c>
      <c r="Q23" s="38">
        <f>P23*N23</f>
        <v>0.73</v>
      </c>
      <c r="R23" s="37"/>
      <c r="S23" s="59"/>
    </row>
    <row r="24" spans="1:19" ht="24" x14ac:dyDescent="0.25">
      <c r="A24" s="1"/>
      <c r="B24" s="47">
        <f t="shared" si="0"/>
        <v>15</v>
      </c>
      <c r="C24" s="54" t="s">
        <v>15</v>
      </c>
      <c r="D24" s="51" t="s">
        <v>36</v>
      </c>
      <c r="E24" s="51" t="s">
        <v>62</v>
      </c>
      <c r="F24" s="51" t="s">
        <v>84</v>
      </c>
      <c r="G24" s="51" t="s">
        <v>103</v>
      </c>
      <c r="H24" s="51" t="s">
        <v>122</v>
      </c>
      <c r="I24" s="51" t="s">
        <v>172</v>
      </c>
      <c r="J24" s="51" t="s">
        <v>139</v>
      </c>
      <c r="K24" s="51" t="s">
        <v>172</v>
      </c>
      <c r="L24" s="51">
        <v>1</v>
      </c>
      <c r="M24" s="51">
        <f t="shared" ref="M24" si="15">L24*5</f>
        <v>5</v>
      </c>
      <c r="N24" s="51">
        <v>20</v>
      </c>
      <c r="O24" s="60" t="s">
        <v>173</v>
      </c>
      <c r="P24" s="52">
        <v>2.3699999999999999E-2</v>
      </c>
      <c r="Q24" s="52">
        <f t="shared" ref="Q24" si="16">P24*N24</f>
        <v>0.47399999999999998</v>
      </c>
      <c r="R24" s="51"/>
      <c r="S24" s="59"/>
    </row>
    <row r="25" spans="1:19" x14ac:dyDescent="0.25">
      <c r="A25" s="1"/>
      <c r="B25" s="46">
        <f>ROW(B25) - ROW($B$9)</f>
        <v>16</v>
      </c>
      <c r="C25" s="63" t="s">
        <v>16</v>
      </c>
      <c r="D25" s="64" t="s">
        <v>37</v>
      </c>
      <c r="E25" s="64" t="s">
        <v>63</v>
      </c>
      <c r="F25" s="65" t="s">
        <v>171</v>
      </c>
      <c r="G25" s="64" t="s">
        <v>172</v>
      </c>
      <c r="H25" s="64" t="s">
        <v>172</v>
      </c>
      <c r="I25" s="64" t="s">
        <v>172</v>
      </c>
      <c r="J25" s="64" t="s">
        <v>172</v>
      </c>
      <c r="K25" s="64" t="s">
        <v>172</v>
      </c>
      <c r="L25" s="64">
        <v>3</v>
      </c>
      <c r="M25" s="64">
        <f>L25*5</f>
        <v>15</v>
      </c>
      <c r="N25" s="64" t="s">
        <v>172</v>
      </c>
      <c r="O25" s="65" t="s">
        <v>173</v>
      </c>
      <c r="P25" s="66" t="s">
        <v>172</v>
      </c>
      <c r="Q25" s="66" t="s">
        <v>172</v>
      </c>
      <c r="R25" s="64"/>
      <c r="S25" s="67"/>
    </row>
    <row r="26" spans="1:19" x14ac:dyDescent="0.25">
      <c r="A26" s="1"/>
      <c r="B26" s="47">
        <f t="shared" si="0"/>
        <v>17</v>
      </c>
      <c r="C26" s="54" t="s">
        <v>17</v>
      </c>
      <c r="D26" s="51" t="s">
        <v>38</v>
      </c>
      <c r="E26" s="51" t="s">
        <v>64</v>
      </c>
      <c r="F26" s="51" t="s">
        <v>85</v>
      </c>
      <c r="G26" s="51" t="s">
        <v>104</v>
      </c>
      <c r="H26" s="51" t="s">
        <v>113</v>
      </c>
      <c r="I26" s="51" t="s">
        <v>172</v>
      </c>
      <c r="J26" s="51" t="s">
        <v>140</v>
      </c>
      <c r="K26" s="51" t="s">
        <v>155</v>
      </c>
      <c r="L26" s="51">
        <v>1</v>
      </c>
      <c r="M26" s="51">
        <f t="shared" ref="M26" si="17">L26*5</f>
        <v>5</v>
      </c>
      <c r="N26" s="51">
        <v>100</v>
      </c>
      <c r="O26" s="60" t="s">
        <v>173</v>
      </c>
      <c r="P26" s="52">
        <v>1.1000000000000001E-3</v>
      </c>
      <c r="Q26" s="52">
        <f t="shared" ref="Q26" si="18">P26*N26</f>
        <v>0.11</v>
      </c>
      <c r="R26" s="51"/>
      <c r="S26" s="59"/>
    </row>
    <row r="27" spans="1:19" x14ac:dyDescent="0.25">
      <c r="A27" s="1"/>
      <c r="B27" s="46">
        <f>ROW(B27) - ROW($B$9)</f>
        <v>18</v>
      </c>
      <c r="C27" s="54" t="s">
        <v>17</v>
      </c>
      <c r="D27" s="37" t="s">
        <v>178</v>
      </c>
      <c r="E27" s="37" t="s">
        <v>65</v>
      </c>
      <c r="F27" s="37" t="s">
        <v>85</v>
      </c>
      <c r="G27" s="37" t="s">
        <v>105</v>
      </c>
      <c r="H27" s="37" t="s">
        <v>113</v>
      </c>
      <c r="I27" s="51" t="s">
        <v>172</v>
      </c>
      <c r="J27" s="37" t="s">
        <v>141</v>
      </c>
      <c r="K27" s="37" t="s">
        <v>156</v>
      </c>
      <c r="L27" s="37">
        <v>6</v>
      </c>
      <c r="M27" s="37">
        <f>L27*5</f>
        <v>30</v>
      </c>
      <c r="N27" s="37">
        <v>100</v>
      </c>
      <c r="O27" s="60" t="s">
        <v>173</v>
      </c>
      <c r="P27" s="38">
        <v>1E-3</v>
      </c>
      <c r="Q27" s="38">
        <f>P27*N27</f>
        <v>0.1</v>
      </c>
      <c r="R27" s="37"/>
      <c r="S27" s="59"/>
    </row>
    <row r="28" spans="1:19" x14ac:dyDescent="0.25">
      <c r="A28" s="1"/>
      <c r="B28" s="47">
        <f t="shared" si="0"/>
        <v>19</v>
      </c>
      <c r="C28" s="54" t="s">
        <v>17</v>
      </c>
      <c r="D28" s="51" t="s">
        <v>39</v>
      </c>
      <c r="E28" s="51" t="s">
        <v>66</v>
      </c>
      <c r="F28" s="51" t="s">
        <v>85</v>
      </c>
      <c r="G28" s="51" t="s">
        <v>106</v>
      </c>
      <c r="H28" s="51" t="s">
        <v>113</v>
      </c>
      <c r="I28" s="51" t="s">
        <v>172</v>
      </c>
      <c r="J28" s="51" t="s">
        <v>142</v>
      </c>
      <c r="K28" s="51" t="s">
        <v>157</v>
      </c>
      <c r="L28" s="51">
        <v>1</v>
      </c>
      <c r="M28" s="51">
        <f t="shared" ref="M28" si="19">L28*5</f>
        <v>5</v>
      </c>
      <c r="N28" s="51">
        <v>100</v>
      </c>
      <c r="O28" s="60" t="s">
        <v>173</v>
      </c>
      <c r="P28" s="52">
        <v>3.2000000000000002E-3</v>
      </c>
      <c r="Q28" s="52">
        <f t="shared" ref="Q28" si="20">P28*N28</f>
        <v>0.32</v>
      </c>
      <c r="R28" s="51"/>
      <c r="S28" s="59"/>
    </row>
    <row r="29" spans="1:19" x14ac:dyDescent="0.25">
      <c r="A29" s="1"/>
      <c r="B29" s="46">
        <f>ROW(B29) - ROW($B$9)</f>
        <v>20</v>
      </c>
      <c r="C29" s="54" t="s">
        <v>17</v>
      </c>
      <c r="D29" s="37" t="s">
        <v>40</v>
      </c>
      <c r="E29" s="37" t="s">
        <v>67</v>
      </c>
      <c r="F29" s="37" t="s">
        <v>86</v>
      </c>
      <c r="G29" s="37" t="s">
        <v>107</v>
      </c>
      <c r="H29" s="37" t="s">
        <v>113</v>
      </c>
      <c r="I29" s="51" t="s">
        <v>172</v>
      </c>
      <c r="J29" s="37" t="s">
        <v>177</v>
      </c>
      <c r="K29" s="37" t="s">
        <v>158</v>
      </c>
      <c r="L29" s="37">
        <v>1</v>
      </c>
      <c r="M29" s="37">
        <f>L29*5</f>
        <v>5</v>
      </c>
      <c r="N29" s="37">
        <v>100</v>
      </c>
      <c r="O29" s="60" t="s">
        <v>173</v>
      </c>
      <c r="P29" s="38">
        <v>8.0000000000000004E-4</v>
      </c>
      <c r="Q29" s="38">
        <f>P29*N29</f>
        <v>0.08</v>
      </c>
      <c r="R29" s="37"/>
      <c r="S29" s="59"/>
    </row>
    <row r="30" spans="1:19" x14ac:dyDescent="0.25">
      <c r="A30" s="1"/>
      <c r="B30" s="46">
        <f>ROW(B30) - ROW($B$9)</f>
        <v>21</v>
      </c>
      <c r="C30" s="54" t="s">
        <v>17</v>
      </c>
      <c r="D30" s="37" t="s">
        <v>41</v>
      </c>
      <c r="E30" s="37" t="s">
        <v>68</v>
      </c>
      <c r="F30" s="37" t="s">
        <v>86</v>
      </c>
      <c r="G30" s="37" t="s">
        <v>108</v>
      </c>
      <c r="H30" s="37" t="s">
        <v>113</v>
      </c>
      <c r="I30" s="51" t="s">
        <v>172</v>
      </c>
      <c r="J30" s="37" t="s">
        <v>143</v>
      </c>
      <c r="K30" s="37" t="s">
        <v>159</v>
      </c>
      <c r="L30" s="37">
        <v>1</v>
      </c>
      <c r="M30" s="37">
        <f>L30*5</f>
        <v>5</v>
      </c>
      <c r="N30" s="37">
        <v>100</v>
      </c>
      <c r="O30" s="60" t="s">
        <v>173</v>
      </c>
      <c r="P30" s="38">
        <v>6.9999999999999999E-4</v>
      </c>
      <c r="Q30" s="38">
        <f>P30*N30</f>
        <v>6.9999999999999993E-2</v>
      </c>
      <c r="R30" s="37"/>
      <c r="S30" s="59"/>
    </row>
    <row r="31" spans="1:19" x14ac:dyDescent="0.25">
      <c r="A31" s="1"/>
      <c r="B31" s="47">
        <f t="shared" si="0"/>
        <v>22</v>
      </c>
      <c r="C31" s="63" t="s">
        <v>18</v>
      </c>
      <c r="D31" s="64" t="s">
        <v>42</v>
      </c>
      <c r="E31" s="64" t="s">
        <v>69</v>
      </c>
      <c r="F31" s="65" t="s">
        <v>171</v>
      </c>
      <c r="G31" s="64" t="s">
        <v>87</v>
      </c>
      <c r="H31" s="64" t="s">
        <v>172</v>
      </c>
      <c r="I31" s="64" t="s">
        <v>172</v>
      </c>
      <c r="J31" s="64" t="s">
        <v>172</v>
      </c>
      <c r="K31" s="64" t="s">
        <v>172</v>
      </c>
      <c r="L31" s="64">
        <v>2</v>
      </c>
      <c r="M31" s="64">
        <f t="shared" ref="M31" si="21">L31*5</f>
        <v>10</v>
      </c>
      <c r="N31" s="64" t="s">
        <v>172</v>
      </c>
      <c r="O31" s="65" t="s">
        <v>172</v>
      </c>
      <c r="P31" s="66" t="s">
        <v>172</v>
      </c>
      <c r="Q31" s="66" t="s">
        <v>172</v>
      </c>
      <c r="R31" s="64"/>
      <c r="S31" s="67"/>
    </row>
    <row r="32" spans="1:19" ht="48" x14ac:dyDescent="0.25">
      <c r="A32" s="1"/>
      <c r="B32" s="46">
        <f>ROW(B32) - ROW($B$9)</f>
        <v>23</v>
      </c>
      <c r="C32" s="53" t="s">
        <v>19</v>
      </c>
      <c r="D32" s="37" t="s">
        <v>43</v>
      </c>
      <c r="E32" s="37" t="s">
        <v>70</v>
      </c>
      <c r="F32" s="51" t="s">
        <v>171</v>
      </c>
      <c r="G32" s="37" t="s">
        <v>88</v>
      </c>
      <c r="H32" s="37" t="s">
        <v>123</v>
      </c>
      <c r="I32" s="37" t="s">
        <v>172</v>
      </c>
      <c r="J32" s="37" t="s">
        <v>144</v>
      </c>
      <c r="K32" s="37" t="s">
        <v>172</v>
      </c>
      <c r="L32" s="37">
        <v>2</v>
      </c>
      <c r="M32" s="37">
        <f>L32*5</f>
        <v>10</v>
      </c>
      <c r="N32" s="37">
        <v>20</v>
      </c>
      <c r="O32" s="60" t="s">
        <v>173</v>
      </c>
      <c r="P32" s="38">
        <v>2.1299999999999999E-2</v>
      </c>
      <c r="Q32" s="38">
        <f>P32*N32</f>
        <v>0.42599999999999999</v>
      </c>
      <c r="R32" s="37"/>
      <c r="S32" s="59"/>
    </row>
    <row r="33" spans="1:19" x14ac:dyDescent="0.25">
      <c r="A33" s="1"/>
      <c r="B33" s="47">
        <f t="shared" si="0"/>
        <v>24</v>
      </c>
      <c r="C33" s="54" t="s">
        <v>20</v>
      </c>
      <c r="D33" s="51" t="s">
        <v>44</v>
      </c>
      <c r="E33" s="51" t="s">
        <v>71</v>
      </c>
      <c r="F33" s="51" t="s">
        <v>171</v>
      </c>
      <c r="G33" s="51" t="s">
        <v>109</v>
      </c>
      <c r="H33" s="51" t="s">
        <v>124</v>
      </c>
      <c r="I33" s="37" t="s">
        <v>172</v>
      </c>
      <c r="J33" s="51" t="s">
        <v>145</v>
      </c>
      <c r="K33" s="51"/>
      <c r="L33" s="51">
        <v>1</v>
      </c>
      <c r="M33" s="51">
        <f t="shared" ref="M33" si="22">L33*5</f>
        <v>5</v>
      </c>
      <c r="N33" s="51">
        <v>6</v>
      </c>
      <c r="O33" s="60" t="s">
        <v>173</v>
      </c>
      <c r="P33" s="52">
        <v>5.1180000000000003</v>
      </c>
      <c r="Q33" s="52">
        <f t="shared" ref="Q33" si="23">P33*N33</f>
        <v>30.708000000000002</v>
      </c>
      <c r="R33" s="51"/>
      <c r="S33" s="59"/>
    </row>
    <row r="34" spans="1:19" ht="24" x14ac:dyDescent="0.25">
      <c r="A34" s="1"/>
      <c r="B34" s="46">
        <f>ROW(B34) - ROW($B$9)</f>
        <v>25</v>
      </c>
      <c r="C34" s="53" t="s">
        <v>21</v>
      </c>
      <c r="D34" s="37" t="s">
        <v>45</v>
      </c>
      <c r="E34" s="37" t="s">
        <v>72</v>
      </c>
      <c r="F34" s="37" t="s">
        <v>89</v>
      </c>
      <c r="G34" s="37" t="s">
        <v>110</v>
      </c>
      <c r="H34" s="37" t="s">
        <v>125</v>
      </c>
      <c r="I34" s="37" t="s">
        <v>172</v>
      </c>
      <c r="J34" s="37" t="s">
        <v>146</v>
      </c>
      <c r="K34" s="37"/>
      <c r="L34" s="37">
        <v>1</v>
      </c>
      <c r="M34" s="37">
        <f>L34*5</f>
        <v>5</v>
      </c>
      <c r="N34" s="37">
        <v>10</v>
      </c>
      <c r="O34" s="60" t="s">
        <v>173</v>
      </c>
      <c r="P34" s="38">
        <v>0.16200000000000001</v>
      </c>
      <c r="Q34" s="38">
        <f>P34*N34</f>
        <v>1.62</v>
      </c>
      <c r="R34" s="37"/>
      <c r="S34" s="59"/>
    </row>
    <row r="35" spans="1:19" ht="15.75" thickBot="1" x14ac:dyDescent="0.3">
      <c r="A35" s="1"/>
      <c r="B35" s="47">
        <f t="shared" si="0"/>
        <v>26</v>
      </c>
      <c r="C35" s="54" t="s">
        <v>21</v>
      </c>
      <c r="D35" s="51" t="s">
        <v>46</v>
      </c>
      <c r="E35" s="51" t="s">
        <v>73</v>
      </c>
      <c r="F35" s="51" t="s">
        <v>90</v>
      </c>
      <c r="G35" s="51" t="s">
        <v>111</v>
      </c>
      <c r="H35" s="51" t="s">
        <v>116</v>
      </c>
      <c r="I35" s="37" t="s">
        <v>172</v>
      </c>
      <c r="J35" s="51" t="s">
        <v>147</v>
      </c>
      <c r="K35" s="51"/>
      <c r="L35" s="51">
        <v>1</v>
      </c>
      <c r="M35" s="51">
        <f t="shared" ref="M35:M37" si="24">L35*5</f>
        <v>5</v>
      </c>
      <c r="N35" s="51">
        <v>10</v>
      </c>
      <c r="O35" s="60" t="s">
        <v>173</v>
      </c>
      <c r="P35" s="52">
        <v>7.0800000000000002E-2</v>
      </c>
      <c r="Q35" s="52">
        <f t="shared" ref="Q35:Q37" si="25">P35*N35</f>
        <v>0.70799999999999996</v>
      </c>
      <c r="R35" s="51"/>
      <c r="S35" s="39"/>
    </row>
    <row r="36" spans="1:19" s="69" customFormat="1" x14ac:dyDescent="0.25">
      <c r="A36" s="68"/>
      <c r="B36" s="47">
        <f t="shared" si="0"/>
        <v>27</v>
      </c>
      <c r="C36" s="70" t="s">
        <v>184</v>
      </c>
      <c r="D36" s="37" t="s">
        <v>172</v>
      </c>
      <c r="E36" s="70" t="s">
        <v>180</v>
      </c>
      <c r="F36" s="37" t="s">
        <v>172</v>
      </c>
      <c r="G36" s="51" t="s">
        <v>181</v>
      </c>
      <c r="H36" s="51" t="s">
        <v>182</v>
      </c>
      <c r="I36" s="37" t="s">
        <v>172</v>
      </c>
      <c r="J36" s="37" t="s">
        <v>172</v>
      </c>
      <c r="K36" s="37" t="s">
        <v>172</v>
      </c>
      <c r="L36" s="54">
        <v>1</v>
      </c>
      <c r="M36" s="53">
        <f t="shared" si="24"/>
        <v>5</v>
      </c>
      <c r="N36" s="37">
        <v>2</v>
      </c>
      <c r="O36" s="61" t="s">
        <v>183</v>
      </c>
      <c r="P36" s="38">
        <v>12</v>
      </c>
      <c r="Q36" s="52">
        <f t="shared" si="25"/>
        <v>24</v>
      </c>
      <c r="R36" s="37"/>
      <c r="S36" s="37"/>
    </row>
    <row r="37" spans="1:19" s="69" customFormat="1" ht="15.75" thickBot="1" x14ac:dyDescent="0.3">
      <c r="A37" s="68"/>
      <c r="B37" s="47">
        <f t="shared" si="0"/>
        <v>28</v>
      </c>
      <c r="C37" s="70" t="s">
        <v>184</v>
      </c>
      <c r="D37" s="81" t="s">
        <v>172</v>
      </c>
      <c r="E37" s="51" t="s">
        <v>172</v>
      </c>
      <c r="F37" s="37" t="s">
        <v>172</v>
      </c>
      <c r="G37" s="51" t="s">
        <v>185</v>
      </c>
      <c r="H37" s="51" t="s">
        <v>186</v>
      </c>
      <c r="I37" s="37" t="s">
        <v>172</v>
      </c>
      <c r="J37" s="37" t="s">
        <v>187</v>
      </c>
      <c r="K37" s="37" t="s">
        <v>172</v>
      </c>
      <c r="L37" s="54">
        <v>1</v>
      </c>
      <c r="M37" s="53">
        <f t="shared" si="24"/>
        <v>5</v>
      </c>
      <c r="N37" s="37">
        <v>6</v>
      </c>
      <c r="O37" s="61" t="s">
        <v>173</v>
      </c>
      <c r="P37" s="38">
        <v>0.11169999999999999</v>
      </c>
      <c r="Q37" s="52">
        <f t="shared" si="25"/>
        <v>0.67019999999999991</v>
      </c>
      <c r="R37" s="81"/>
      <c r="S37" s="82"/>
    </row>
    <row r="38" spans="1:19" ht="19.5" thickBot="1" x14ac:dyDescent="0.3">
      <c r="A38" s="1"/>
      <c r="B38" s="40"/>
      <c r="C38" s="41"/>
      <c r="D38" s="42"/>
      <c r="E38" s="43"/>
      <c r="F38" s="44"/>
      <c r="G38" s="45"/>
      <c r="H38" s="44"/>
      <c r="I38" s="45"/>
      <c r="J38" s="44"/>
      <c r="K38" s="45"/>
      <c r="L38" s="45"/>
      <c r="M38" s="45"/>
      <c r="N38" s="79" t="s">
        <v>5</v>
      </c>
      <c r="O38" s="80"/>
      <c r="P38" s="80"/>
      <c r="Q38" s="48">
        <f>SUM(Q10:Q35)</f>
        <v>55.551200000000001</v>
      </c>
      <c r="R38" s="75"/>
      <c r="S38" s="76"/>
    </row>
    <row r="39" spans="1:19" ht="19.5" thickBot="1" x14ac:dyDescent="0.3">
      <c r="A39" s="1"/>
      <c r="B39" s="25"/>
      <c r="C39" s="36"/>
      <c r="D39" s="9"/>
      <c r="E39" s="10"/>
      <c r="F39" s="10"/>
      <c r="G39" s="10"/>
      <c r="H39" s="10"/>
      <c r="I39" s="10"/>
      <c r="J39" s="10"/>
      <c r="K39" s="10"/>
      <c r="L39" s="10"/>
      <c r="M39" s="10"/>
      <c r="N39" s="79" t="s">
        <v>6</v>
      </c>
      <c r="O39" s="80"/>
      <c r="P39" s="80"/>
      <c r="Q39" s="49">
        <f>Q38/5</f>
        <v>11.110240000000001</v>
      </c>
      <c r="R39" s="77"/>
      <c r="S39" s="78"/>
    </row>
  </sheetData>
  <mergeCells count="5">
    <mergeCell ref="K1:S1"/>
    <mergeCell ref="S3:S8"/>
    <mergeCell ref="R38:S39"/>
    <mergeCell ref="N38:P38"/>
    <mergeCell ref="N39:P39"/>
  </mergeCells>
  <hyperlinks>
    <hyperlink ref="O11" r:id="rId1"/>
    <hyperlink ref="O10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2" r:id="rId12"/>
    <hyperlink ref="O23" r:id="rId13"/>
    <hyperlink ref="O24" r:id="rId14"/>
    <hyperlink ref="O26" r:id="rId15"/>
    <hyperlink ref="O27" r:id="rId16"/>
    <hyperlink ref="O28" r:id="rId17"/>
    <hyperlink ref="O29" r:id="rId18"/>
    <hyperlink ref="O30" r:id="rId19"/>
    <hyperlink ref="O32" r:id="rId20"/>
    <hyperlink ref="O33" r:id="rId21"/>
    <hyperlink ref="O34" r:id="rId22"/>
    <hyperlink ref="O35" r:id="rId23"/>
    <hyperlink ref="O36" r:id="rId24"/>
    <hyperlink ref="O37" r:id="rId25"/>
  </hyperlinks>
  <pageMargins left="0.7" right="0.7" top="0.75" bottom="0.75" header="0.3" footer="0.3"/>
  <pageSetup paperSize="9" orientation="portrait" r:id="rId26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2023-06-15T12:41:54Z</dcterms:modified>
</cp:coreProperties>
</file>