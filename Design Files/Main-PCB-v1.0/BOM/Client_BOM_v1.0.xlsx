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3" i="1" l="1"/>
  <c r="B72" i="1"/>
  <c r="B66" i="1"/>
  <c r="B67" i="1"/>
  <c r="B68" i="1"/>
  <c r="B69" i="1"/>
  <c r="B70" i="1"/>
  <c r="B71" i="1"/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<sst xmlns="http://schemas.openxmlformats.org/spreadsheetml/2006/main" count="530" uniqueCount="305">
  <si>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</si>
  <si>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</si>
  <si>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</si>
  <si>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</si>
  <si>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</si>
  <si>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</si>
  <si>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</si>
  <si>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</si>
  <si>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</si>
  <si>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</si>
  <si>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THrough Hole Pads</t>
  </si>
  <si>
    <t>JST Connector</t>
  </si>
  <si>
    <t>Header</t>
  </si>
  <si>
    <t>Terminal Block</t>
  </si>
  <si>
    <t>JST Right Angle</t>
  </si>
  <si>
    <t>Inductor</t>
  </si>
  <si>
    <t>LED</t>
  </si>
  <si>
    <t>Potentiometer</t>
  </si>
  <si>
    <t>Resistor</t>
  </si>
  <si>
    <t>Solder Bridge</t>
  </si>
  <si>
    <t>Switch</t>
  </si>
  <si>
    <t>IC</t>
  </si>
  <si>
    <t>Crystal</t>
  </si>
  <si>
    <t>Designator</t>
  </si>
  <si>
    <t>C1, C13, C25, C27</t>
  </si>
  <si>
    <t>C2, C3, C10, C14, C16, C23, C24, C26, C32, C36, C37, C38, C42, C43, C44</t>
  </si>
  <si>
    <t>C4, C6, C8, C18, C20, C21</t>
  </si>
  <si>
    <t>C5, C11</t>
  </si>
  <si>
    <t>C7</t>
  </si>
  <si>
    <t>C9</t>
  </si>
  <si>
    <t>C12, C15</t>
  </si>
  <si>
    <t>C17, C19</t>
  </si>
  <si>
    <t>C22</t>
  </si>
  <si>
    <t>C28, C29</t>
  </si>
  <si>
    <t>C30, C31</t>
  </si>
  <si>
    <t>C33, C34, C35, C39, C40, C41</t>
  </si>
  <si>
    <t>D1</t>
  </si>
  <si>
    <t>D2</t>
  </si>
  <si>
    <t>D3</t>
  </si>
  <si>
    <t>D4, D5, D6, D16, D17, D18</t>
  </si>
  <si>
    <t>D7, D8, D9, D10, D11, D12, D13, D14, D15, D19, D20, D21, D22, D23, D24, D25, D26, D27</t>
  </si>
  <si>
    <t>F1</t>
  </si>
  <si>
    <t>F2, F3, F4, F5, F6, F7, F8, F9, F10, F11, F12, F13</t>
  </si>
  <si>
    <t>J1</t>
  </si>
  <si>
    <t>J2, J3, J4</t>
  </si>
  <si>
    <t>J5</t>
  </si>
  <si>
    <t>J6</t>
  </si>
  <si>
    <t>J7</t>
  </si>
  <si>
    <t>J8, J9, J10, J11, J12, J13, J14, J15, J16, J17</t>
  </si>
  <si>
    <t>J18</t>
  </si>
  <si>
    <t>L1</t>
  </si>
  <si>
    <t>L2</t>
  </si>
  <si>
    <t>L3</t>
  </si>
  <si>
    <t>LED1, LED2, LED3, LED4, LED5, LED6, LED7, LED8, LED9, LED10, LED11, LED12</t>
  </si>
  <si>
    <t>P1</t>
  </si>
  <si>
    <t>PT1</t>
  </si>
  <si>
    <t>R1</t>
  </si>
  <si>
    <t>R2, R4</t>
  </si>
  <si>
    <t>R3</t>
  </si>
  <si>
    <t>R5</t>
  </si>
  <si>
    <t>R6</t>
  </si>
  <si>
    <t>R7</t>
  </si>
  <si>
    <t>R8, R15, R16, R23</t>
  </si>
  <si>
    <t>R9, R10, R11, R12, R13, R14, R17, R18, R19, R20, R21, R22, R36, R37, R38, R40, R42, R44, R45, R46, R47, R69, R70, R71, R73, R75, R77, R78, R79, R80</t>
  </si>
  <si>
    <t>R24, R25, R26, R39, R41, R43, R51, R52, R53, R54, R55, R56, R57, R58, R59, R72, R74, R76, R84, R85, R86, R87, R88, R89</t>
  </si>
  <si>
    <t>R27, R28, R29, R30, R31, R32, R60, R61, R62, R63, R64, R65</t>
  </si>
  <si>
    <t>R33, R34, R35, R66, R67, R68</t>
  </si>
  <si>
    <t>R48, R49, R50, R81, R82, R83</t>
  </si>
  <si>
    <t>SB1, SB2, SB3, SB4, SB5, SB6, SB7, SB8, SB9, SB10, SB11, SB12, SB13, SB14, SB15, SB16, SB17, SB18, SB19, SB20</t>
  </si>
  <si>
    <t>SW1, SW2</t>
  </si>
  <si>
    <t>U1, U4</t>
  </si>
  <si>
    <t>U2</t>
  </si>
  <si>
    <t>U3</t>
  </si>
  <si>
    <t>U5</t>
  </si>
  <si>
    <t>U6, U7</t>
  </si>
  <si>
    <t>U8, U9, U10, U14, U15, U16</t>
  </si>
  <si>
    <t>U11, U12, U13, U17, U18, U19</t>
  </si>
  <si>
    <t>X1</t>
  </si>
  <si>
    <t>X2</t>
  </si>
  <si>
    <t>Description</t>
  </si>
  <si>
    <t>CAP CER 2.2UF 50V X5R 0805</t>
  </si>
  <si>
    <t>CAP CER 0.1UF 50V X5R 0603</t>
  </si>
  <si>
    <t>CAP CER 10UF 10V X5R 0603</t>
  </si>
  <si>
    <t>CAP CER 2.2UF 25V X5R 0603</t>
  </si>
  <si>
    <t>CAP CER 10000PF 50V C0G/NPO 0603</t>
  </si>
  <si>
    <t>CAP ALUM 100UF 20% 50V SMD</t>
  </si>
  <si>
    <t>CAP CER 10000PF 50V X7R 0402</t>
  </si>
  <si>
    <t>27uF 35V ±20% SMD,D6.3xL5.7mm Aluminum Electrolytic Capacitors - SMD ROHS</t>
  </si>
  <si>
    <t>10uF 10V 8Ω@100kHz ±10% CASE-A-3216 Tantalum Capacitors ROHS</t>
  </si>
  <si>
    <t>CAP CER 20PF 50V C0G/NPO 0603</t>
  </si>
  <si>
    <t>CAP CER 10PF 50V C0G/NPO 0603</t>
  </si>
  <si>
    <t>CAP CER 0.022UF 16V X5R 0402</t>
  </si>
  <si>
    <t>40V 650mV@10A 10A SMC(DO-214AB) Schottky Barrier Diodes (SBD) ROHS</t>
  </si>
  <si>
    <t>58.1V 40V 36V Bi-Directional SMB(DO-214AA) TVS ROHS</t>
  </si>
  <si>
    <t>200V 900mV@2A 2A SMB(DO-214AA) Schottky Barrier Diodes (SBD) ROHS</t>
  </si>
  <si>
    <t>DIODE GEN PURP 100V 300MA SOD123</t>
  </si>
  <si>
    <t>TVS DIODE 6.5VWM 11.2VC DO214AC</t>
  </si>
  <si>
    <t>30V 5A 5A 2920 Resettable Fuses ROHS</t>
  </si>
  <si>
    <t>60V 100mA 40A 300mA 1812 Resettable Fuses ROHS</t>
  </si>
  <si>
    <t>Wire Connecting Pad</t>
  </si>
  <si>
    <t>CONN HEADER VERT 4POS 2.5MM</t>
  </si>
  <si>
    <t>CONN HEADER 6 POS 2.54</t>
  </si>
  <si>
    <t>2.54mm Plugin 3A -40℃~+105℃ Straight 1x8P 8.5mm Top 8 Square Holes Plugin,P=2.54mm Female Headers ROHS</t>
  </si>
  <si>
    <t>2.54mm Plugin Brass Straight 1x20P 20 Plugin,P=2.54mm Female Headers ROHS</t>
  </si>
  <si>
    <t>-40℃~+105℃ 20A 300V Green Corner pin Double - Walled(Double) 14~22 Straight pin 2 1 7.62mm Plugin,P=7.62mm Barrier Terminal Blocks ROHS</t>
  </si>
  <si>
    <t>2.5 18A Green Straight pin 5.08mm 1 14~30 2 Straight,P=5.08mm</t>
  </si>
  <si>
    <t>1x5P 1 1.25mm Male pin 5 -25℃~+85℃ Surface Mount SMD,P=1.25mm Wire To Board / Wire To Wire Connector ROHS</t>
  </si>
  <si>
    <t>2.9A 22uH ±20% 66mΩ SMD,12x12x5mm Power Inductors ROHS</t>
  </si>
  <si>
    <t>6A 33uH ±20% SMD,15x15x8mm Power Inductors ROHS</t>
  </si>
  <si>
    <t>Fixed Ind 1020%UH 0.029 Ohm 4100M</t>
  </si>
  <si>
    <t>Emerald 0603 Light Emitting Diodes (LED) ROHS</t>
  </si>
  <si>
    <t>XT60 CONNECTORS MALE/FEMALE PAIR</t>
  </si>
  <si>
    <t>TRIMMER 10KOHM 0.125W J LEAD TOP</t>
  </si>
  <si>
    <t>RES SMD 422K OHM 0.1% 1/8W 0805</t>
  </si>
  <si>
    <t>RES SMD 22.1KOHM 0.1% 1/16W 0402</t>
  </si>
  <si>
    <t>RES SMD 162K OHM 0.1% 1/16W 0402</t>
  </si>
  <si>
    <t>RES SMD 18.7KOHM 0.1% 1/16W 0402</t>
  </si>
  <si>
    <t>RES SMD 6.98KOHM 0.1% 1/16W 0402</t>
  </si>
  <si>
    <t>RES 1K OHM 1% 1/16W 0402</t>
  </si>
  <si>
    <t>RES 10K OHM 1% 1/16W 0402</t>
  </si>
  <si>
    <t>RES 0 OHM JUMPER 1/16W 0402</t>
  </si>
  <si>
    <t>RES 4.7K OHM 1% 1/16W 0402</t>
  </si>
  <si>
    <t>RES 2.4K OHM 1% 1/16W 0402</t>
  </si>
  <si>
    <t>RES 56K OHM 1% 1/16W 0402</t>
  </si>
  <si>
    <t>RES 120 OHM 1% 1/10W 0603</t>
  </si>
  <si>
    <t>Solder Bridge ON</t>
  </si>
  <si>
    <t>No NO 50mA 4.5mm 100000 260gf 12V -30℃~+85℃ 4.5mm 4.3mm Black Round Button Brick nogging SPST SMD Tactile Switches ROHS</t>
  </si>
  <si>
    <t>IC REG BUCK ADJ 2A SOT23-THIN</t>
  </si>
  <si>
    <t>SPX3819 Series 3.3 V 500 mA Fixed Output SMT LDO Regulator - SOT-23-5</t>
  </si>
  <si>
    <t>IC REG BUCK ADJ 5A TO263-7</t>
  </si>
  <si>
    <t>MCU 32-bit ARM Cortex M4 RISC 1MB Flash 3.3V 100-Pin LQFP Frame</t>
  </si>
  <si>
    <t>IC 8-BIT TRNSTR 15KV ESD 20TSSOP</t>
  </si>
  <si>
    <t>6 16ns@6V,50pF 2uA 2V~6V SOIC-14-208mil Inverters ROHS</t>
  </si>
  <si>
    <t>SOP-8 RS-485/RS-422 ICs ROHS</t>
  </si>
  <si>
    <t>16MHz SMD Crystal Resonator 9pF ±10ppm ±30ppm -40℃~+85℃ SMD3225-4P Crystals ROHS</t>
  </si>
  <si>
    <t>CRYSTAL 32.7680KHZ 6PF SMD</t>
  </si>
  <si>
    <t>Footprint</t>
  </si>
  <si>
    <t>Cap-0805</t>
  </si>
  <si>
    <t>Cap-0603</t>
  </si>
  <si>
    <t>CAP-0603</t>
  </si>
  <si>
    <t>Cap-0402</t>
  </si>
  <si>
    <t>VUA270M1VTR-0606</t>
  </si>
  <si>
    <t>SMC</t>
  </si>
  <si>
    <t>SMB_</t>
  </si>
  <si>
    <t>SOD-123</t>
  </si>
  <si>
    <t>SMA</t>
  </si>
  <si>
    <t>Fuse-2920</t>
  </si>
  <si>
    <t>Fuse-1812_</t>
  </si>
  <si>
    <t>2P THrough Hole Pads</t>
  </si>
  <si>
    <t>JL762B-76202GA1</t>
  </si>
  <si>
    <t>1.25-5PWB</t>
  </si>
  <si>
    <t>YPRH1508-330M</t>
  </si>
  <si>
    <t>SWPA8040S100MT</t>
  </si>
  <si>
    <t>LED-0603</t>
  </si>
  <si>
    <t>PRT-10474</t>
  </si>
  <si>
    <t>3313J-1-103E</t>
  </si>
  <si>
    <t>RES-0805</t>
  </si>
  <si>
    <t>Res-0402</t>
  </si>
  <si>
    <t>Res-0603</t>
  </si>
  <si>
    <t>Solder Bridge 0402</t>
  </si>
  <si>
    <t>TS-1109S-C-B</t>
  </si>
  <si>
    <t>SOT-23-6 THIN</t>
  </si>
  <si>
    <t>SOT-23-5</t>
  </si>
  <si>
    <t>TO-263-7</t>
  </si>
  <si>
    <t>LQFP-100</t>
  </si>
  <si>
    <t>TSSOP-20</t>
  </si>
  <si>
    <t>14-SOIC</t>
  </si>
  <si>
    <t>SOP-8</t>
  </si>
  <si>
    <t>SMD3225-4P</t>
  </si>
  <si>
    <t>Manufacturer Part Number</t>
  </si>
  <si>
    <t>CC0805KKX5R9BB225</t>
  </si>
  <si>
    <t>CC0603KRX5R9BB104</t>
  </si>
  <si>
    <t>CC0603KRX5R6BB106</t>
  </si>
  <si>
    <t>CC0603KRX5R8BB225</t>
  </si>
  <si>
    <t>CC0603JRNPO9BN103</t>
  </si>
  <si>
    <t>UUD1H101MNL1GS</t>
  </si>
  <si>
    <t>CC0402KRX7R9BB103</t>
  </si>
  <si>
    <t>CA45-A-10V-10uF-K</t>
  </si>
  <si>
    <t>CC0603JRNPO9BN200</t>
  </si>
  <si>
    <t>CC0603JRNPO9BN100</t>
  </si>
  <si>
    <t>CC0402KRX5R7BB223</t>
  </si>
  <si>
    <t>SK104C</t>
  </si>
  <si>
    <t>SMBJ36CA</t>
  </si>
  <si>
    <t>SK220-LTP</t>
  </si>
  <si>
    <t>1N4148W-7-F</t>
  </si>
  <si>
    <t>SMAJ6.5CA</t>
  </si>
  <si>
    <t>SHV2920P500-30-AA</t>
  </si>
  <si>
    <t>MF-MSMF010-2</t>
  </si>
  <si>
    <t>B4B-XH-A(LF)(SN)</t>
  </si>
  <si>
    <t>KH-2.54FH-1X8P-H8.5</t>
  </si>
  <si>
    <t>B-2200S20P-A120</t>
  </si>
  <si>
    <t>WJ500V-5.08-2P</t>
  </si>
  <si>
    <t>YPRH1204-220M</t>
  </si>
  <si>
    <t>NCD0603G2</t>
  </si>
  <si>
    <t>RT0805BRD07422KL</t>
  </si>
  <si>
    <t>RT0402BRD0722K1L</t>
  </si>
  <si>
    <t>RT0402BRD07162KL</t>
  </si>
  <si>
    <t>RT0402BRD0718K7L</t>
  </si>
  <si>
    <t>RT0402BRD076K98L</t>
  </si>
  <si>
    <t>RC0402FR-071KL</t>
  </si>
  <si>
    <t>RC0402FR-0710KL</t>
  </si>
  <si>
    <t>RC0402FR-070RL</t>
  </si>
  <si>
    <t>RC0402FR-074K7L</t>
  </si>
  <si>
    <t>RC0402FR-072K4L</t>
  </si>
  <si>
    <t>RC0402FR-0756KL</t>
  </si>
  <si>
    <t>RC0603FR-07120RL</t>
  </si>
  <si>
    <t>LMR51420YDDCR</t>
  </si>
  <si>
    <t>SPX3819M5-L-3-3/TR</t>
  </si>
  <si>
    <t>LM2679SX-ADJ/NOPB</t>
  </si>
  <si>
    <t>STM32F413VGT6</t>
  </si>
  <si>
    <t>TXB0108PWR</t>
  </si>
  <si>
    <t>SN74HC04NSR</t>
  </si>
  <si>
    <t>SP3485EIM/TR</t>
  </si>
  <si>
    <t>X322516MLB4SI</t>
  </si>
  <si>
    <t>NX3215SA-32.768K-STD-MUA-14</t>
  </si>
  <si>
    <t>Manufacturer</t>
  </si>
  <si>
    <t>Yageo</t>
  </si>
  <si>
    <t>Nichicon</t>
  </si>
  <si>
    <t>Lelon</t>
  </si>
  <si>
    <t>CEC(Shenzhen Zhenhua XinYun Elec)</t>
  </si>
  <si>
    <t>MDD</t>
  </si>
  <si>
    <t>Slkor(SLKORMICRO Elec.)</t>
  </si>
  <si>
    <t>MCC</t>
  </si>
  <si>
    <t>Diodes</t>
  </si>
  <si>
    <t>Littelfuse</t>
  </si>
  <si>
    <t>PTTC(Polytronics Tech)</t>
  </si>
  <si>
    <t>Bourns</t>
  </si>
  <si>
    <t>JST</t>
  </si>
  <si>
    <t>Wurth Electronics</t>
  </si>
  <si>
    <t>Shenzhen Kinghelm Elec</t>
  </si>
  <si>
    <t>Ckmtw(Shenzhen Cankemeng)</t>
  </si>
  <si>
    <t>JILN</t>
  </si>
  <si>
    <t>Ningbo Kangnex Elec</t>
  </si>
  <si>
    <t>DEALON</t>
  </si>
  <si>
    <t>YJYCOIN</t>
  </si>
  <si>
    <t>Sunlord</t>
  </si>
  <si>
    <t>Foshan NationStar Optoelectronics</t>
  </si>
  <si>
    <t>SparkFun</t>
  </si>
  <si>
    <t>XKB Connectivity</t>
  </si>
  <si>
    <t>Texas Instruments</t>
  </si>
  <si>
    <t>MaxLinear</t>
  </si>
  <si>
    <t>TI National Semiconductor</t>
  </si>
  <si>
    <t>STMicroelectronics</t>
  </si>
  <si>
    <t>HGSEMI</t>
  </si>
  <si>
    <t>Yangxing Tech</t>
  </si>
  <si>
    <t>NDK</t>
  </si>
  <si>
    <t>2.2uF</t>
  </si>
  <si>
    <t>100nF</t>
  </si>
  <si>
    <t>10uF</t>
  </si>
  <si>
    <t>10nF</t>
  </si>
  <si>
    <t>100uF</t>
  </si>
  <si>
    <t>27uF</t>
  </si>
  <si>
    <t>20pF</t>
  </si>
  <si>
    <t>10pF</t>
  </si>
  <si>
    <t>22nF</t>
  </si>
  <si>
    <t>22UH</t>
  </si>
  <si>
    <t>33uH</t>
  </si>
  <si>
    <t>10uH</t>
  </si>
  <si>
    <t>10K</t>
  </si>
  <si>
    <t>422k</t>
  </si>
  <si>
    <t>22.1K</t>
  </si>
  <si>
    <t>162k</t>
  </si>
  <si>
    <t>18.7K</t>
  </si>
  <si>
    <t>6.98K</t>
  </si>
  <si>
    <t>1K</t>
  </si>
  <si>
    <t>0R</t>
  </si>
  <si>
    <t>4.7K</t>
  </si>
  <si>
    <t>2.4k</t>
  </si>
  <si>
    <t>56k</t>
  </si>
  <si>
    <t>120R</t>
  </si>
  <si>
    <t>Quantity</t>
  </si>
  <si>
    <t>Alternate Part Number</t>
  </si>
  <si>
    <t xml:space="preserve"> Remarks</t>
  </si>
  <si>
    <t>Value</t>
  </si>
  <si>
    <t>Custom</t>
  </si>
  <si>
    <t>-</t>
  </si>
  <si>
    <t>J19</t>
  </si>
  <si>
    <t>Connector</t>
  </si>
  <si>
    <t>Flowmeter</t>
  </si>
  <si>
    <t>UF2000F</t>
  </si>
  <si>
    <t>Electric Valve</t>
  </si>
  <si>
    <t>DN50</t>
  </si>
  <si>
    <t>RFID Reader</t>
  </si>
  <si>
    <t>RS485</t>
  </si>
  <si>
    <t>Keypad</t>
  </si>
  <si>
    <t>K-TEK-A120KP-BL-DWP</t>
  </si>
  <si>
    <t>Thermal Printer</t>
  </si>
  <si>
    <t>Metal Thermal PPanel Mount Printer</t>
  </si>
  <si>
    <t>Push Buttons</t>
  </si>
  <si>
    <t xml:space="preserve">Push Button Switch with Light </t>
  </si>
  <si>
    <t>LED Display smaller size</t>
  </si>
  <si>
    <t>NHD-12864WG-CTFH-V#N</t>
  </si>
  <si>
    <t>TDS Sensor</t>
  </si>
  <si>
    <t>CCT-3320 CCT-3320C CCT-3320V</t>
  </si>
  <si>
    <t>HLOYKELL</t>
  </si>
  <si>
    <t>MIT-UNID-CNS</t>
  </si>
  <si>
    <t>HZCCXZ-RFID-CARD</t>
  </si>
  <si>
    <t>key-tek</t>
  </si>
  <si>
    <t>MASUNG</t>
  </si>
  <si>
    <t>Sweideer</t>
  </si>
  <si>
    <t>Newhaven</t>
  </si>
  <si>
    <t>ROC</t>
  </si>
  <si>
    <t>Bill of Materials for Project [Main-PCB-v1.0.]</t>
  </si>
  <si>
    <t>Main-PCB-v1.0</t>
  </si>
  <si>
    <t>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</si>
</sst>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0" fillId="3" borderId="0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2</xdr:row>
      <xdr:rowOff>19942</xdr:rowOff>
    </xdr:from>
    <xdr:to>
      <xdr:col>11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5"/>
  <sheetViews>
    <sheetView tabSelected="1" topLeftCell="A55" workbookViewId="0">
      <selection activeCell="E78" sqref="E78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9.85546875" bestFit="1" customWidth="1"/>
    <col min="8" max="8" width="21.5703125" bestFit="1" customWidth="1"/>
    <col min="9" max="9" width="21.42578125" bestFit="1" customWidth="1"/>
    <col min="10" max="10" width="17.85546875" bestFit="1" customWidth="1"/>
    <col min="11" max="11" width="16.7109375" bestFit="1" customWidth="1"/>
    <col min="12" max="12" width="29.42578125" customWidth="1"/>
  </cols>
  <sheetData>
    <row r="1" spans="1:12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58"/>
      <c r="K1" s="58"/>
      <c r="L1" s="58"/>
    </row>
    <row r="2" spans="1:12" ht="32.25" thickBot="1" x14ac:dyDescent="0.3">
      <c r="A2" s="1"/>
      <c r="B2" s="20"/>
      <c r="C2" s="43"/>
      <c r="D2" s="10" t="s">
        <v>0</v>
      </c>
      <c r="E2" s="10"/>
      <c r="F2" s="51" t="s">
        <v>302</v>
      </c>
      <c r="G2" s="11"/>
      <c r="H2" s="11"/>
      <c r="I2" s="3"/>
      <c r="J2" s="3"/>
      <c r="K2" s="3"/>
      <c r="L2" s="40"/>
    </row>
    <row r="3" spans="1:12" x14ac:dyDescent="0.25">
      <c r="A3" s="1"/>
      <c r="B3" s="21"/>
      <c r="C3" s="44"/>
      <c r="D3" s="12" t="s">
        <v>1</v>
      </c>
      <c r="E3" s="12"/>
      <c r="F3" s="57" t="s">
        <v>303</v>
      </c>
      <c r="G3" s="12"/>
      <c r="H3" s="12"/>
      <c r="I3" s="4"/>
      <c r="J3" s="4"/>
      <c r="K3" s="4"/>
      <c r="L3" s="59"/>
    </row>
    <row r="4" spans="1:12" x14ac:dyDescent="0.25">
      <c r="A4" s="1"/>
      <c r="B4" s="21"/>
      <c r="C4" s="44"/>
      <c r="D4" s="12" t="s">
        <v>2</v>
      </c>
      <c r="E4" s="12"/>
      <c r="F4" s="52" t="s">
        <v>303</v>
      </c>
      <c r="G4" s="13"/>
      <c r="H4" s="13"/>
      <c r="I4" s="6"/>
      <c r="J4" s="6"/>
      <c r="K4" s="6"/>
      <c r="L4" s="60"/>
    </row>
    <row r="5" spans="1:12" x14ac:dyDescent="0.25">
      <c r="A5" s="1"/>
      <c r="B5" s="21"/>
      <c r="C5" s="44"/>
      <c r="D5" s="12" t="s">
        <v>3</v>
      </c>
      <c r="E5" s="12"/>
      <c r="F5" s="53" t="s">
        <v>5</v>
      </c>
      <c r="G5" s="14"/>
      <c r="H5" s="14"/>
      <c r="I5" s="5"/>
      <c r="J5" s="5"/>
      <c r="K5" s="5"/>
      <c r="L5" s="60"/>
    </row>
    <row r="6" spans="1:12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60"/>
    </row>
    <row r="7" spans="1:12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60"/>
    </row>
    <row r="8" spans="1:12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60"/>
    </row>
    <row r="9" spans="1:12" ht="15.75" thickBot="1" x14ac:dyDescent="0.3">
      <c r="A9" s="1"/>
      <c r="B9" s="29" t="s">
        <v>4</v>
      </c>
      <c r="C9" s="29" t="s">
        <v>6</v>
      </c>
      <c r="D9" s="29" t="s">
        <v>23</v>
      </c>
      <c r="E9" s="30" t="s">
        <v>79</v>
      </c>
      <c r="F9" s="29" t="s">
        <v>136</v>
      </c>
      <c r="G9" s="30" t="s">
        <v>169</v>
      </c>
      <c r="H9" s="29" t="s">
        <v>271</v>
      </c>
      <c r="I9" s="29" t="s">
        <v>215</v>
      </c>
      <c r="J9" s="30" t="s">
        <v>273</v>
      </c>
      <c r="K9" s="29" t="s">
        <v>270</v>
      </c>
      <c r="L9" s="29" t="s">
        <v>272</v>
      </c>
    </row>
    <row r="10" spans="1:12" ht="15.75" thickBot="1" x14ac:dyDescent="0.3">
      <c r="A10" s="1"/>
      <c r="B10" s="50">
        <f>ROW(B10) - ROW($B$9)</f>
        <v>1</v>
      </c>
      <c r="C10" s="54" t="s">
        <v>7</v>
      </c>
      <c r="D10" s="36" t="s">
        <v>24</v>
      </c>
      <c r="E10" s="37" t="s">
        <v>80</v>
      </c>
      <c r="F10" s="36" t="s">
        <v>137</v>
      </c>
      <c r="G10" s="37" t="s">
        <v>170</v>
      </c>
      <c r="H10" s="36" t="s">
        <v>275</v>
      </c>
      <c r="I10" s="36" t="s">
        <v>216</v>
      </c>
      <c r="J10" s="37" t="s">
        <v>246</v>
      </c>
      <c r="K10" s="36">
        <v>4</v>
      </c>
      <c r="L10" s="36"/>
    </row>
    <row r="11" spans="1:12" ht="24.75" thickBot="1" x14ac:dyDescent="0.3">
      <c r="A11" s="1"/>
      <c r="B11" s="50">
        <f t="shared" ref="B11:B73" si="0">ROW(B11) - ROW($B$9)</f>
        <v>2</v>
      </c>
      <c r="C11" s="54" t="s">
        <v>7</v>
      </c>
      <c r="D11" s="38" t="s">
        <v>25</v>
      </c>
      <c r="E11" s="39" t="s">
        <v>81</v>
      </c>
      <c r="F11" s="38" t="s">
        <v>138</v>
      </c>
      <c r="G11" s="39" t="s">
        <v>171</v>
      </c>
      <c r="H11" s="36" t="s">
        <v>275</v>
      </c>
      <c r="I11" s="38" t="s">
        <v>216</v>
      </c>
      <c r="J11" s="39" t="s">
        <v>247</v>
      </c>
      <c r="K11" s="38">
        <v>15</v>
      </c>
      <c r="L11" s="38"/>
    </row>
    <row r="12" spans="1:12" ht="15.75" thickBot="1" x14ac:dyDescent="0.3">
      <c r="A12" s="1"/>
      <c r="B12" s="50">
        <f>ROW(B12) - ROW($B$9)</f>
        <v>3</v>
      </c>
      <c r="C12" s="54" t="s">
        <v>7</v>
      </c>
      <c r="D12" s="36" t="s">
        <v>26</v>
      </c>
      <c r="E12" s="37" t="s">
        <v>82</v>
      </c>
      <c r="F12" s="36" t="s">
        <v>138</v>
      </c>
      <c r="G12" s="37" t="s">
        <v>172</v>
      </c>
      <c r="H12" s="36" t="s">
        <v>275</v>
      </c>
      <c r="I12" s="36" t="s">
        <v>216</v>
      </c>
      <c r="J12" s="37" t="s">
        <v>248</v>
      </c>
      <c r="K12" s="36">
        <v>6</v>
      </c>
      <c r="L12" s="36"/>
    </row>
    <row r="13" spans="1:12" ht="15.75" thickBot="1" x14ac:dyDescent="0.3">
      <c r="A13" s="1"/>
      <c r="B13" s="50">
        <f t="shared" si="0"/>
        <v>4</v>
      </c>
      <c r="C13" s="54" t="s">
        <v>7</v>
      </c>
      <c r="D13" s="38" t="s">
        <v>27</v>
      </c>
      <c r="E13" s="39" t="s">
        <v>83</v>
      </c>
      <c r="F13" s="38" t="s">
        <v>139</v>
      </c>
      <c r="G13" s="39" t="s">
        <v>173</v>
      </c>
      <c r="H13" s="36" t="s">
        <v>275</v>
      </c>
      <c r="I13" s="38" t="s">
        <v>216</v>
      </c>
      <c r="J13" s="39" t="s">
        <v>246</v>
      </c>
      <c r="K13" s="38">
        <v>2</v>
      </c>
      <c r="L13" s="38"/>
    </row>
    <row r="14" spans="1:12" ht="15.75" thickBot="1" x14ac:dyDescent="0.3">
      <c r="A14" s="1"/>
      <c r="B14" s="50">
        <f>ROW(B14) - ROW($B$9)</f>
        <v>5</v>
      </c>
      <c r="C14" s="54" t="s">
        <v>7</v>
      </c>
      <c r="D14" s="36" t="s">
        <v>28</v>
      </c>
      <c r="E14" s="37" t="s">
        <v>84</v>
      </c>
      <c r="F14" s="36" t="s">
        <v>138</v>
      </c>
      <c r="G14" s="37" t="s">
        <v>174</v>
      </c>
      <c r="H14" s="36" t="s">
        <v>275</v>
      </c>
      <c r="I14" s="36" t="s">
        <v>216</v>
      </c>
      <c r="J14" s="37" t="s">
        <v>249</v>
      </c>
      <c r="K14" s="36">
        <v>1</v>
      </c>
      <c r="L14" s="36"/>
    </row>
    <row r="15" spans="1:12" ht="15.75" thickBot="1" x14ac:dyDescent="0.3">
      <c r="A15" s="1"/>
      <c r="B15" s="50">
        <f t="shared" si="0"/>
        <v>6</v>
      </c>
      <c r="C15" s="54" t="s">
        <v>7</v>
      </c>
      <c r="D15" s="38" t="s">
        <v>29</v>
      </c>
      <c r="E15" s="39" t="s">
        <v>85</v>
      </c>
      <c r="F15" s="38" t="s">
        <v>274</v>
      </c>
      <c r="G15" s="39" t="s">
        <v>175</v>
      </c>
      <c r="H15" s="36" t="s">
        <v>275</v>
      </c>
      <c r="I15" s="38" t="s">
        <v>217</v>
      </c>
      <c r="J15" s="39" t="s">
        <v>250</v>
      </c>
      <c r="K15" s="38">
        <v>1</v>
      </c>
      <c r="L15" s="38"/>
    </row>
    <row r="16" spans="1:12" ht="15.75" thickBot="1" x14ac:dyDescent="0.3">
      <c r="A16" s="1"/>
      <c r="B16" s="50">
        <f>ROW(B16) - ROW($B$9)</f>
        <v>7</v>
      </c>
      <c r="C16" s="54" t="s">
        <v>7</v>
      </c>
      <c r="D16" s="36" t="s">
        <v>30</v>
      </c>
      <c r="E16" s="37" t="s">
        <v>86</v>
      </c>
      <c r="F16" s="36" t="s">
        <v>140</v>
      </c>
      <c r="G16" s="37" t="s">
        <v>176</v>
      </c>
      <c r="H16" s="36" t="s">
        <v>275</v>
      </c>
      <c r="I16" s="36" t="s">
        <v>216</v>
      </c>
      <c r="J16" s="37" t="s">
        <v>249</v>
      </c>
      <c r="K16" s="36">
        <v>2</v>
      </c>
      <c r="L16" s="36"/>
    </row>
    <row r="17" spans="1:12" ht="36.75" thickBot="1" x14ac:dyDescent="0.3">
      <c r="A17" s="1"/>
      <c r="B17" s="50">
        <f t="shared" si="0"/>
        <v>8</v>
      </c>
      <c r="C17" s="54" t="s">
        <v>7</v>
      </c>
      <c r="D17" s="38" t="s">
        <v>31</v>
      </c>
      <c r="E17" s="39" t="s">
        <v>87</v>
      </c>
      <c r="F17" s="38" t="s">
        <v>274</v>
      </c>
      <c r="G17" s="39" t="s">
        <v>141</v>
      </c>
      <c r="H17" s="36" t="s">
        <v>275</v>
      </c>
      <c r="I17" s="38" t="s">
        <v>218</v>
      </c>
      <c r="J17" s="39" t="s">
        <v>251</v>
      </c>
      <c r="K17" s="38">
        <v>2</v>
      </c>
      <c r="L17" s="38"/>
    </row>
    <row r="18" spans="1:12" ht="24.75" thickBot="1" x14ac:dyDescent="0.3">
      <c r="A18" s="1"/>
      <c r="B18" s="50">
        <f>ROW(B18) - ROW($B$9)</f>
        <v>9</v>
      </c>
      <c r="C18" s="54" t="s">
        <v>7</v>
      </c>
      <c r="D18" s="36" t="s">
        <v>32</v>
      </c>
      <c r="E18" s="37" t="s">
        <v>88</v>
      </c>
      <c r="F18" s="38" t="s">
        <v>274</v>
      </c>
      <c r="G18" s="37" t="s">
        <v>177</v>
      </c>
      <c r="H18" s="36" t="s">
        <v>275</v>
      </c>
      <c r="I18" s="36" t="s">
        <v>219</v>
      </c>
      <c r="J18" s="37" t="s">
        <v>248</v>
      </c>
      <c r="K18" s="36">
        <v>1</v>
      </c>
      <c r="L18" s="36"/>
    </row>
    <row r="19" spans="1:12" ht="15.75" thickBot="1" x14ac:dyDescent="0.3">
      <c r="A19" s="1"/>
      <c r="B19" s="50">
        <f t="shared" si="0"/>
        <v>10</v>
      </c>
      <c r="C19" s="54" t="s">
        <v>7</v>
      </c>
      <c r="D19" s="38" t="s">
        <v>33</v>
      </c>
      <c r="E19" s="39" t="s">
        <v>89</v>
      </c>
      <c r="F19" s="38" t="s">
        <v>138</v>
      </c>
      <c r="G19" s="39" t="s">
        <v>178</v>
      </c>
      <c r="H19" s="36" t="s">
        <v>275</v>
      </c>
      <c r="I19" s="38" t="s">
        <v>216</v>
      </c>
      <c r="J19" s="39" t="s">
        <v>252</v>
      </c>
      <c r="K19" s="38">
        <v>2</v>
      </c>
      <c r="L19" s="38"/>
    </row>
    <row r="20" spans="1:12" ht="15.75" thickBot="1" x14ac:dyDescent="0.3">
      <c r="A20" s="1"/>
      <c r="B20" s="50">
        <f>ROW(B20) - ROW($B$9)</f>
        <v>11</v>
      </c>
      <c r="C20" s="54" t="s">
        <v>7</v>
      </c>
      <c r="D20" s="36" t="s">
        <v>34</v>
      </c>
      <c r="E20" s="37" t="s">
        <v>90</v>
      </c>
      <c r="F20" s="36" t="s">
        <v>138</v>
      </c>
      <c r="G20" s="37" t="s">
        <v>179</v>
      </c>
      <c r="H20" s="36" t="s">
        <v>275</v>
      </c>
      <c r="I20" s="36" t="s">
        <v>216</v>
      </c>
      <c r="J20" s="37" t="s">
        <v>253</v>
      </c>
      <c r="K20" s="36">
        <v>2</v>
      </c>
      <c r="L20" s="36"/>
    </row>
    <row r="21" spans="1:12" ht="15.75" thickBot="1" x14ac:dyDescent="0.3">
      <c r="A21" s="1"/>
      <c r="B21" s="50">
        <f t="shared" si="0"/>
        <v>12</v>
      </c>
      <c r="C21" s="54" t="s">
        <v>7</v>
      </c>
      <c r="D21" s="38" t="s">
        <v>35</v>
      </c>
      <c r="E21" s="39" t="s">
        <v>91</v>
      </c>
      <c r="F21" s="38" t="s">
        <v>140</v>
      </c>
      <c r="G21" s="39" t="s">
        <v>180</v>
      </c>
      <c r="H21" s="36" t="s">
        <v>275</v>
      </c>
      <c r="I21" s="38" t="s">
        <v>216</v>
      </c>
      <c r="J21" s="39" t="s">
        <v>254</v>
      </c>
      <c r="K21" s="38">
        <v>6</v>
      </c>
      <c r="L21" s="38"/>
    </row>
    <row r="22" spans="1:12" ht="24.75" thickBot="1" x14ac:dyDescent="0.3">
      <c r="A22" s="1"/>
      <c r="B22" s="50">
        <f>ROW(B22) - ROW($B$9)</f>
        <v>13</v>
      </c>
      <c r="C22" s="54" t="s">
        <v>8</v>
      </c>
      <c r="D22" s="36" t="s">
        <v>36</v>
      </c>
      <c r="E22" s="37" t="s">
        <v>92</v>
      </c>
      <c r="F22" s="36" t="s">
        <v>142</v>
      </c>
      <c r="G22" s="37" t="s">
        <v>181</v>
      </c>
      <c r="H22" s="36" t="s">
        <v>275</v>
      </c>
      <c r="I22" s="36" t="s">
        <v>220</v>
      </c>
      <c r="J22" s="37" t="s">
        <v>275</v>
      </c>
      <c r="K22" s="36">
        <v>1</v>
      </c>
      <c r="L22" s="36"/>
    </row>
    <row r="23" spans="1:12" ht="24.75" thickBot="1" x14ac:dyDescent="0.3">
      <c r="A23" s="1"/>
      <c r="B23" s="50">
        <f t="shared" si="0"/>
        <v>14</v>
      </c>
      <c r="C23" s="54" t="s">
        <v>8</v>
      </c>
      <c r="D23" s="38" t="s">
        <v>37</v>
      </c>
      <c r="E23" s="39" t="s">
        <v>93</v>
      </c>
      <c r="F23" s="38" t="s">
        <v>143</v>
      </c>
      <c r="G23" s="39" t="s">
        <v>182</v>
      </c>
      <c r="H23" s="36" t="s">
        <v>275</v>
      </c>
      <c r="I23" s="38" t="s">
        <v>221</v>
      </c>
      <c r="J23" s="39" t="s">
        <v>275</v>
      </c>
      <c r="K23" s="38">
        <v>1</v>
      </c>
      <c r="L23" s="38"/>
    </row>
    <row r="24" spans="1:12" ht="24.75" thickBot="1" x14ac:dyDescent="0.3">
      <c r="A24" s="1"/>
      <c r="B24" s="50">
        <f>ROW(B24) - ROW($B$9)</f>
        <v>15</v>
      </c>
      <c r="C24" s="54" t="s">
        <v>8</v>
      </c>
      <c r="D24" s="36" t="s">
        <v>38</v>
      </c>
      <c r="E24" s="37" t="s">
        <v>94</v>
      </c>
      <c r="F24" s="36" t="s">
        <v>143</v>
      </c>
      <c r="G24" s="37" t="s">
        <v>183</v>
      </c>
      <c r="H24" s="36" t="s">
        <v>275</v>
      </c>
      <c r="I24" s="36" t="s">
        <v>222</v>
      </c>
      <c r="J24" s="37" t="s">
        <v>275</v>
      </c>
      <c r="K24" s="36">
        <v>1</v>
      </c>
      <c r="L24" s="36"/>
    </row>
    <row r="25" spans="1:12" ht="15.75" thickBot="1" x14ac:dyDescent="0.3">
      <c r="A25" s="1"/>
      <c r="B25" s="50">
        <f t="shared" si="0"/>
        <v>16</v>
      </c>
      <c r="C25" s="54" t="s">
        <v>8</v>
      </c>
      <c r="D25" s="38" t="s">
        <v>39</v>
      </c>
      <c r="E25" s="39" t="s">
        <v>95</v>
      </c>
      <c r="F25" s="38" t="s">
        <v>144</v>
      </c>
      <c r="G25" s="39" t="s">
        <v>184</v>
      </c>
      <c r="H25" s="36" t="s">
        <v>275</v>
      </c>
      <c r="I25" s="38" t="s">
        <v>223</v>
      </c>
      <c r="J25" s="39" t="s">
        <v>275</v>
      </c>
      <c r="K25" s="38">
        <v>6</v>
      </c>
      <c r="L25" s="38"/>
    </row>
    <row r="26" spans="1:12" ht="24.75" thickBot="1" x14ac:dyDescent="0.3">
      <c r="A26" s="1"/>
      <c r="B26" s="50">
        <f>ROW(B26) - ROW($B$9)</f>
        <v>17</v>
      </c>
      <c r="C26" s="54" t="s">
        <v>8</v>
      </c>
      <c r="D26" s="36" t="s">
        <v>40</v>
      </c>
      <c r="E26" s="37" t="s">
        <v>96</v>
      </c>
      <c r="F26" s="36" t="s">
        <v>145</v>
      </c>
      <c r="G26" s="37" t="s">
        <v>185</v>
      </c>
      <c r="H26" s="36" t="s">
        <v>275</v>
      </c>
      <c r="I26" s="36" t="s">
        <v>224</v>
      </c>
      <c r="J26" s="37" t="s">
        <v>275</v>
      </c>
      <c r="K26" s="36">
        <v>18</v>
      </c>
      <c r="L26" s="36"/>
    </row>
    <row r="27" spans="1:12" ht="24.75" thickBot="1" x14ac:dyDescent="0.3">
      <c r="A27" s="1"/>
      <c r="B27" s="50">
        <f t="shared" si="0"/>
        <v>18</v>
      </c>
      <c r="C27" s="54" t="s">
        <v>9</v>
      </c>
      <c r="D27" s="38" t="s">
        <v>41</v>
      </c>
      <c r="E27" s="39" t="s">
        <v>97</v>
      </c>
      <c r="F27" s="38" t="s">
        <v>146</v>
      </c>
      <c r="G27" s="39" t="s">
        <v>186</v>
      </c>
      <c r="H27" s="36" t="s">
        <v>275</v>
      </c>
      <c r="I27" s="38" t="s">
        <v>225</v>
      </c>
      <c r="J27" s="39" t="s">
        <v>275</v>
      </c>
      <c r="K27" s="38">
        <v>1</v>
      </c>
      <c r="L27" s="38"/>
    </row>
    <row r="28" spans="1:12" ht="24.75" thickBot="1" x14ac:dyDescent="0.3">
      <c r="A28" s="1"/>
      <c r="B28" s="50">
        <f>ROW(B28) - ROW($B$9)</f>
        <v>19</v>
      </c>
      <c r="C28" s="54" t="s">
        <v>9</v>
      </c>
      <c r="D28" s="36" t="s">
        <v>42</v>
      </c>
      <c r="E28" s="37" t="s">
        <v>98</v>
      </c>
      <c r="F28" s="36" t="s">
        <v>147</v>
      </c>
      <c r="G28" s="37" t="s">
        <v>187</v>
      </c>
      <c r="H28" s="36" t="s">
        <v>275</v>
      </c>
      <c r="I28" s="36" t="s">
        <v>226</v>
      </c>
      <c r="J28" s="37" t="s">
        <v>275</v>
      </c>
      <c r="K28" s="36">
        <v>12</v>
      </c>
      <c r="L28" s="36"/>
    </row>
    <row r="29" spans="1:12" ht="15.75" thickBot="1" x14ac:dyDescent="0.3">
      <c r="A29" s="1"/>
      <c r="B29" s="50">
        <f t="shared" si="0"/>
        <v>20</v>
      </c>
      <c r="C29" s="54" t="s">
        <v>10</v>
      </c>
      <c r="D29" s="38" t="s">
        <v>43</v>
      </c>
      <c r="E29" s="39" t="s">
        <v>99</v>
      </c>
      <c r="F29" s="55" t="s">
        <v>274</v>
      </c>
      <c r="G29" s="39" t="s">
        <v>148</v>
      </c>
      <c r="H29" s="36" t="s">
        <v>275</v>
      </c>
      <c r="I29" s="38" t="s">
        <v>275</v>
      </c>
      <c r="J29" s="39" t="s">
        <v>275</v>
      </c>
      <c r="K29" s="38">
        <v>1</v>
      </c>
      <c r="L29" s="38"/>
    </row>
    <row r="30" spans="1:12" ht="15.75" thickBot="1" x14ac:dyDescent="0.3">
      <c r="A30" s="1"/>
      <c r="B30" s="50">
        <f>ROW(B30) - ROW($B$9)</f>
        <v>21</v>
      </c>
      <c r="C30" s="54" t="s">
        <v>11</v>
      </c>
      <c r="D30" s="36" t="s">
        <v>44</v>
      </c>
      <c r="E30" s="37" t="s">
        <v>100</v>
      </c>
      <c r="F30" s="55" t="s">
        <v>274</v>
      </c>
      <c r="G30" s="37" t="s">
        <v>188</v>
      </c>
      <c r="H30" s="36" t="s">
        <v>275</v>
      </c>
      <c r="I30" s="36" t="s">
        <v>227</v>
      </c>
      <c r="J30" s="37" t="s">
        <v>275</v>
      </c>
      <c r="K30" s="36">
        <v>3</v>
      </c>
      <c r="L30" s="36"/>
    </row>
    <row r="31" spans="1:12" ht="15.75" thickBot="1" x14ac:dyDescent="0.3">
      <c r="A31" s="1"/>
      <c r="B31" s="50">
        <f t="shared" si="0"/>
        <v>22</v>
      </c>
      <c r="C31" s="54" t="s">
        <v>12</v>
      </c>
      <c r="D31" s="38" t="s">
        <v>45</v>
      </c>
      <c r="E31" s="39" t="s">
        <v>101</v>
      </c>
      <c r="F31" s="55" t="s">
        <v>274</v>
      </c>
      <c r="G31" s="39">
        <v>61300611121</v>
      </c>
      <c r="H31" s="36" t="s">
        <v>275</v>
      </c>
      <c r="I31" s="38" t="s">
        <v>228</v>
      </c>
      <c r="J31" s="39" t="s">
        <v>275</v>
      </c>
      <c r="K31" s="38">
        <v>1</v>
      </c>
      <c r="L31" s="38"/>
    </row>
    <row r="32" spans="1:12" ht="48.75" thickBot="1" x14ac:dyDescent="0.3">
      <c r="A32" s="1"/>
      <c r="B32" s="50">
        <f>ROW(B32) - ROW($B$9)</f>
        <v>23</v>
      </c>
      <c r="C32" s="54" t="s">
        <v>12</v>
      </c>
      <c r="D32" s="36" t="s">
        <v>46</v>
      </c>
      <c r="E32" s="37" t="s">
        <v>102</v>
      </c>
      <c r="F32" s="55" t="s">
        <v>274</v>
      </c>
      <c r="G32" s="37" t="s">
        <v>189</v>
      </c>
      <c r="H32" s="36" t="s">
        <v>275</v>
      </c>
      <c r="I32" s="36" t="s">
        <v>229</v>
      </c>
      <c r="J32" s="37" t="s">
        <v>275</v>
      </c>
      <c r="K32" s="36">
        <v>1</v>
      </c>
      <c r="L32" s="36"/>
    </row>
    <row r="33" spans="1:12" ht="36.75" thickBot="1" x14ac:dyDescent="0.3">
      <c r="A33" s="1"/>
      <c r="B33" s="50">
        <f t="shared" si="0"/>
        <v>24</v>
      </c>
      <c r="C33" s="54" t="s">
        <v>12</v>
      </c>
      <c r="D33" s="38" t="s">
        <v>47</v>
      </c>
      <c r="E33" s="39" t="s">
        <v>103</v>
      </c>
      <c r="F33" s="55" t="s">
        <v>274</v>
      </c>
      <c r="G33" s="39" t="s">
        <v>190</v>
      </c>
      <c r="H33" s="36" t="s">
        <v>275</v>
      </c>
      <c r="I33" s="38" t="s">
        <v>230</v>
      </c>
      <c r="J33" s="39" t="s">
        <v>275</v>
      </c>
      <c r="K33" s="38">
        <v>1</v>
      </c>
      <c r="L33" s="38"/>
    </row>
    <row r="34" spans="1:12" ht="60.75" thickBot="1" x14ac:dyDescent="0.3">
      <c r="A34" s="1"/>
      <c r="B34" s="50">
        <f>ROW(B34) - ROW($B$9)</f>
        <v>25</v>
      </c>
      <c r="C34" s="54" t="s">
        <v>13</v>
      </c>
      <c r="D34" s="36" t="s">
        <v>48</v>
      </c>
      <c r="E34" s="37" t="s">
        <v>104</v>
      </c>
      <c r="F34" s="55" t="s">
        <v>274</v>
      </c>
      <c r="G34" s="37" t="s">
        <v>149</v>
      </c>
      <c r="H34" s="36" t="s">
        <v>275</v>
      </c>
      <c r="I34" s="36" t="s">
        <v>231</v>
      </c>
      <c r="J34" s="37" t="s">
        <v>275</v>
      </c>
      <c r="K34" s="36">
        <v>10</v>
      </c>
      <c r="L34" s="36"/>
    </row>
    <row r="35" spans="1:12" ht="24.75" thickBot="1" x14ac:dyDescent="0.3">
      <c r="A35" s="1"/>
      <c r="B35" s="50">
        <f t="shared" si="0"/>
        <v>26</v>
      </c>
      <c r="C35" s="54" t="s">
        <v>13</v>
      </c>
      <c r="D35" s="38" t="s">
        <v>49</v>
      </c>
      <c r="E35" s="39" t="s">
        <v>105</v>
      </c>
      <c r="F35" s="55" t="s">
        <v>274</v>
      </c>
      <c r="G35" s="39" t="s">
        <v>191</v>
      </c>
      <c r="H35" s="36" t="s">
        <v>275</v>
      </c>
      <c r="I35" s="38" t="s">
        <v>232</v>
      </c>
      <c r="J35" s="39" t="s">
        <v>275</v>
      </c>
      <c r="K35" s="38">
        <v>1</v>
      </c>
      <c r="L35" s="38"/>
    </row>
    <row r="36" spans="1:12" ht="48.75" thickBot="1" x14ac:dyDescent="0.3">
      <c r="A36" s="1"/>
      <c r="B36" s="50">
        <f>ROW(B36) - ROW($B$9)</f>
        <v>27</v>
      </c>
      <c r="C36" s="54" t="s">
        <v>14</v>
      </c>
      <c r="D36" s="36" t="s">
        <v>276</v>
      </c>
      <c r="E36" s="37" t="s">
        <v>106</v>
      </c>
      <c r="F36" s="55" t="s">
        <v>274</v>
      </c>
      <c r="G36" s="37" t="s">
        <v>150</v>
      </c>
      <c r="H36" s="36" t="s">
        <v>275</v>
      </c>
      <c r="I36" s="36" t="s">
        <v>233</v>
      </c>
      <c r="J36" s="37" t="s">
        <v>275</v>
      </c>
      <c r="K36" s="36">
        <v>1</v>
      </c>
      <c r="L36" s="36"/>
    </row>
    <row r="37" spans="1:12" ht="36.75" thickBot="1" x14ac:dyDescent="0.3">
      <c r="A37" s="1"/>
      <c r="B37" s="50">
        <f t="shared" si="0"/>
        <v>28</v>
      </c>
      <c r="C37" s="54" t="s">
        <v>15</v>
      </c>
      <c r="D37" s="38" t="s">
        <v>50</v>
      </c>
      <c r="E37" s="39" t="s">
        <v>107</v>
      </c>
      <c r="F37" s="55" t="s">
        <v>274</v>
      </c>
      <c r="G37" s="39" t="s">
        <v>192</v>
      </c>
      <c r="H37" s="36" t="s">
        <v>275</v>
      </c>
      <c r="I37" s="38" t="s">
        <v>234</v>
      </c>
      <c r="J37" s="39" t="s">
        <v>255</v>
      </c>
      <c r="K37" s="38">
        <v>1</v>
      </c>
      <c r="L37" s="38"/>
    </row>
    <row r="38" spans="1:12" ht="24.75" thickBot="1" x14ac:dyDescent="0.3">
      <c r="A38" s="1"/>
      <c r="B38" s="50">
        <f>ROW(B38) - ROW($B$9)</f>
        <v>29</v>
      </c>
      <c r="C38" s="54" t="s">
        <v>15</v>
      </c>
      <c r="D38" s="36" t="s">
        <v>51</v>
      </c>
      <c r="E38" s="37" t="s">
        <v>108</v>
      </c>
      <c r="F38" s="55" t="s">
        <v>274</v>
      </c>
      <c r="G38" s="37" t="s">
        <v>151</v>
      </c>
      <c r="H38" s="36" t="s">
        <v>275</v>
      </c>
      <c r="I38" s="36" t="s">
        <v>234</v>
      </c>
      <c r="J38" s="37" t="s">
        <v>256</v>
      </c>
      <c r="K38" s="36">
        <v>1</v>
      </c>
      <c r="L38" s="36"/>
    </row>
    <row r="39" spans="1:12" ht="15.75" thickBot="1" x14ac:dyDescent="0.3">
      <c r="A39" s="1"/>
      <c r="B39" s="50">
        <f t="shared" si="0"/>
        <v>30</v>
      </c>
      <c r="C39" s="54" t="s">
        <v>15</v>
      </c>
      <c r="D39" s="38" t="s">
        <v>52</v>
      </c>
      <c r="E39" s="39" t="s">
        <v>109</v>
      </c>
      <c r="F39" s="55" t="s">
        <v>274</v>
      </c>
      <c r="G39" s="39" t="s">
        <v>152</v>
      </c>
      <c r="H39" s="36" t="s">
        <v>275</v>
      </c>
      <c r="I39" s="38" t="s">
        <v>235</v>
      </c>
      <c r="J39" s="39" t="s">
        <v>257</v>
      </c>
      <c r="K39" s="38">
        <v>1</v>
      </c>
      <c r="L39" s="38"/>
    </row>
    <row r="40" spans="1:12" ht="24.75" thickBot="1" x14ac:dyDescent="0.3">
      <c r="A40" s="1"/>
      <c r="B40" s="50">
        <f>ROW(B40) - ROW($B$9)</f>
        <v>31</v>
      </c>
      <c r="C40" s="54" t="s">
        <v>16</v>
      </c>
      <c r="D40" s="36" t="s">
        <v>53</v>
      </c>
      <c r="E40" s="37" t="s">
        <v>110</v>
      </c>
      <c r="F40" s="36" t="s">
        <v>153</v>
      </c>
      <c r="G40" s="37" t="s">
        <v>193</v>
      </c>
      <c r="H40" s="36" t="s">
        <v>275</v>
      </c>
      <c r="I40" s="36" t="s">
        <v>236</v>
      </c>
      <c r="J40" s="37" t="s">
        <v>275</v>
      </c>
      <c r="K40" s="36">
        <v>12</v>
      </c>
      <c r="L40" s="36"/>
    </row>
    <row r="41" spans="1:12" ht="24.75" thickBot="1" x14ac:dyDescent="0.3">
      <c r="A41" s="1"/>
      <c r="B41" s="50">
        <f t="shared" si="0"/>
        <v>32</v>
      </c>
      <c r="C41" s="54" t="s">
        <v>277</v>
      </c>
      <c r="D41" s="38" t="s">
        <v>54</v>
      </c>
      <c r="E41" s="39" t="s">
        <v>111</v>
      </c>
      <c r="F41" s="55" t="s">
        <v>274</v>
      </c>
      <c r="G41" s="39" t="s">
        <v>154</v>
      </c>
      <c r="H41" s="36" t="s">
        <v>275</v>
      </c>
      <c r="I41" s="38" t="s">
        <v>237</v>
      </c>
      <c r="J41" s="39" t="s">
        <v>275</v>
      </c>
      <c r="K41" s="38">
        <v>1</v>
      </c>
      <c r="L41" s="38"/>
    </row>
    <row r="42" spans="1:12" ht="15.75" thickBot="1" x14ac:dyDescent="0.3">
      <c r="A42" s="1"/>
      <c r="B42" s="50">
        <f>ROW(B42) - ROW($B$9)</f>
        <v>33</v>
      </c>
      <c r="C42" s="54" t="s">
        <v>17</v>
      </c>
      <c r="D42" s="36" t="s">
        <v>55</v>
      </c>
      <c r="E42" s="37" t="s">
        <v>112</v>
      </c>
      <c r="F42" s="55" t="s">
        <v>274</v>
      </c>
      <c r="G42" s="37" t="s">
        <v>155</v>
      </c>
      <c r="H42" s="36" t="s">
        <v>275</v>
      </c>
      <c r="I42" s="36" t="s">
        <v>226</v>
      </c>
      <c r="J42" s="37" t="s">
        <v>258</v>
      </c>
      <c r="K42" s="36">
        <v>1</v>
      </c>
      <c r="L42" s="36"/>
    </row>
    <row r="43" spans="1:12" ht="15.75" thickBot="1" x14ac:dyDescent="0.3">
      <c r="A43" s="1"/>
      <c r="B43" s="50">
        <f t="shared" si="0"/>
        <v>34</v>
      </c>
      <c r="C43" s="54" t="s">
        <v>18</v>
      </c>
      <c r="D43" s="38" t="s">
        <v>56</v>
      </c>
      <c r="E43" s="39" t="s">
        <v>113</v>
      </c>
      <c r="F43" s="38" t="s">
        <v>156</v>
      </c>
      <c r="G43" s="39" t="s">
        <v>194</v>
      </c>
      <c r="H43" s="36" t="s">
        <v>275</v>
      </c>
      <c r="I43" s="38" t="s">
        <v>216</v>
      </c>
      <c r="J43" s="39" t="s">
        <v>259</v>
      </c>
      <c r="K43" s="38">
        <v>1</v>
      </c>
      <c r="L43" s="38"/>
    </row>
    <row r="44" spans="1:12" ht="15.75" thickBot="1" x14ac:dyDescent="0.3">
      <c r="A44" s="1"/>
      <c r="B44" s="50">
        <f>ROW(B44) - ROW($B$9)</f>
        <v>35</v>
      </c>
      <c r="C44" s="54" t="s">
        <v>18</v>
      </c>
      <c r="D44" s="36" t="s">
        <v>57</v>
      </c>
      <c r="E44" s="37" t="s">
        <v>114</v>
      </c>
      <c r="F44" s="36" t="s">
        <v>157</v>
      </c>
      <c r="G44" s="37" t="s">
        <v>195</v>
      </c>
      <c r="H44" s="36" t="s">
        <v>275</v>
      </c>
      <c r="I44" s="36" t="s">
        <v>216</v>
      </c>
      <c r="J44" s="37" t="s">
        <v>260</v>
      </c>
      <c r="K44" s="36">
        <v>2</v>
      </c>
      <c r="L44" s="36"/>
    </row>
    <row r="45" spans="1:12" ht="15.75" thickBot="1" x14ac:dyDescent="0.3">
      <c r="A45" s="1"/>
      <c r="B45" s="50">
        <f t="shared" si="0"/>
        <v>36</v>
      </c>
      <c r="C45" s="54" t="s">
        <v>18</v>
      </c>
      <c r="D45" s="38" t="s">
        <v>58</v>
      </c>
      <c r="E45" s="39" t="s">
        <v>115</v>
      </c>
      <c r="F45" s="38" t="s">
        <v>157</v>
      </c>
      <c r="G45" s="39" t="s">
        <v>196</v>
      </c>
      <c r="H45" s="36" t="s">
        <v>275</v>
      </c>
      <c r="I45" s="38" t="s">
        <v>216</v>
      </c>
      <c r="J45" s="39" t="s">
        <v>261</v>
      </c>
      <c r="K45" s="38">
        <v>1</v>
      </c>
      <c r="L45" s="38"/>
    </row>
    <row r="46" spans="1:12" ht="15.75" thickBot="1" x14ac:dyDescent="0.3">
      <c r="A46" s="1"/>
      <c r="B46" s="50">
        <f>ROW(B46) - ROW($B$9)</f>
        <v>37</v>
      </c>
      <c r="C46" s="54" t="s">
        <v>18</v>
      </c>
      <c r="D46" s="36" t="s">
        <v>59</v>
      </c>
      <c r="E46" s="37" t="s">
        <v>116</v>
      </c>
      <c r="F46" s="36" t="s">
        <v>157</v>
      </c>
      <c r="G46" s="37" t="s">
        <v>197</v>
      </c>
      <c r="H46" s="36" t="s">
        <v>275</v>
      </c>
      <c r="I46" s="36" t="s">
        <v>216</v>
      </c>
      <c r="J46" s="37" t="s">
        <v>262</v>
      </c>
      <c r="K46" s="36">
        <v>1</v>
      </c>
      <c r="L46" s="36"/>
    </row>
    <row r="47" spans="1:12" ht="15.75" thickBot="1" x14ac:dyDescent="0.3">
      <c r="A47" s="1"/>
      <c r="B47" s="50">
        <f t="shared" si="0"/>
        <v>38</v>
      </c>
      <c r="C47" s="54" t="s">
        <v>18</v>
      </c>
      <c r="D47" s="38" t="s">
        <v>60</v>
      </c>
      <c r="E47" s="39" t="s">
        <v>117</v>
      </c>
      <c r="F47" s="38" t="s">
        <v>157</v>
      </c>
      <c r="G47" s="39" t="s">
        <v>198</v>
      </c>
      <c r="H47" s="36" t="s">
        <v>275</v>
      </c>
      <c r="I47" s="38" t="s">
        <v>216</v>
      </c>
      <c r="J47" s="39" t="s">
        <v>263</v>
      </c>
      <c r="K47" s="38">
        <v>1</v>
      </c>
      <c r="L47" s="38"/>
    </row>
    <row r="48" spans="1:12" ht="15.75" thickBot="1" x14ac:dyDescent="0.3">
      <c r="A48" s="1"/>
      <c r="B48" s="50">
        <f>ROW(B48) - ROW($B$9)</f>
        <v>39</v>
      </c>
      <c r="C48" s="54" t="s">
        <v>18</v>
      </c>
      <c r="D48" s="36" t="s">
        <v>61</v>
      </c>
      <c r="E48" s="37" t="s">
        <v>118</v>
      </c>
      <c r="F48" s="36" t="s">
        <v>157</v>
      </c>
      <c r="G48" s="37" t="s">
        <v>199</v>
      </c>
      <c r="H48" s="36" t="s">
        <v>275</v>
      </c>
      <c r="I48" s="36" t="s">
        <v>216</v>
      </c>
      <c r="J48" s="37" t="s">
        <v>264</v>
      </c>
      <c r="K48" s="36">
        <v>1</v>
      </c>
      <c r="L48" s="36"/>
    </row>
    <row r="49" spans="1:12" ht="15.75" thickBot="1" x14ac:dyDescent="0.3">
      <c r="A49" s="1"/>
      <c r="B49" s="50">
        <f t="shared" si="0"/>
        <v>40</v>
      </c>
      <c r="C49" s="54" t="s">
        <v>18</v>
      </c>
      <c r="D49" s="38" t="s">
        <v>62</v>
      </c>
      <c r="E49" s="39" t="s">
        <v>119</v>
      </c>
      <c r="F49" s="38" t="s">
        <v>157</v>
      </c>
      <c r="G49" s="39" t="s">
        <v>200</v>
      </c>
      <c r="H49" s="36" t="s">
        <v>275</v>
      </c>
      <c r="I49" s="38" t="s">
        <v>216</v>
      </c>
      <c r="J49" s="39" t="s">
        <v>258</v>
      </c>
      <c r="K49" s="38">
        <v>4</v>
      </c>
      <c r="L49" s="38"/>
    </row>
    <row r="50" spans="1:12" ht="48.75" thickBot="1" x14ac:dyDescent="0.3">
      <c r="A50" s="1"/>
      <c r="B50" s="50">
        <f>ROW(B50) - ROW($B$9)</f>
        <v>41</v>
      </c>
      <c r="C50" s="54" t="s">
        <v>18</v>
      </c>
      <c r="D50" s="36" t="s">
        <v>63</v>
      </c>
      <c r="E50" s="37" t="s">
        <v>120</v>
      </c>
      <c r="F50" s="36" t="s">
        <v>157</v>
      </c>
      <c r="G50" s="37" t="s">
        <v>201</v>
      </c>
      <c r="H50" s="36" t="s">
        <v>275</v>
      </c>
      <c r="I50" s="36" t="s">
        <v>216</v>
      </c>
      <c r="J50" s="37" t="s">
        <v>265</v>
      </c>
      <c r="K50" s="36">
        <v>30</v>
      </c>
      <c r="L50" s="36"/>
    </row>
    <row r="51" spans="1:12" ht="36.75" thickBot="1" x14ac:dyDescent="0.3">
      <c r="A51" s="1"/>
      <c r="B51" s="50">
        <f t="shared" si="0"/>
        <v>42</v>
      </c>
      <c r="C51" s="54" t="s">
        <v>18</v>
      </c>
      <c r="D51" s="38" t="s">
        <v>64</v>
      </c>
      <c r="E51" s="39" t="s">
        <v>121</v>
      </c>
      <c r="F51" s="38" t="s">
        <v>157</v>
      </c>
      <c r="G51" s="39" t="s">
        <v>202</v>
      </c>
      <c r="H51" s="36" t="s">
        <v>275</v>
      </c>
      <c r="I51" s="38" t="s">
        <v>216</v>
      </c>
      <c r="J51" s="39" t="s">
        <v>266</v>
      </c>
      <c r="K51" s="38">
        <v>24</v>
      </c>
      <c r="L51" s="38"/>
    </row>
    <row r="52" spans="1:12" ht="24.75" thickBot="1" x14ac:dyDescent="0.3">
      <c r="A52" s="1"/>
      <c r="B52" s="50">
        <f>ROW(B52) - ROW($B$9)</f>
        <v>43</v>
      </c>
      <c r="C52" s="54" t="s">
        <v>18</v>
      </c>
      <c r="D52" s="36" t="s">
        <v>65</v>
      </c>
      <c r="E52" s="37" t="s">
        <v>122</v>
      </c>
      <c r="F52" s="36" t="s">
        <v>157</v>
      </c>
      <c r="G52" s="37" t="s">
        <v>203</v>
      </c>
      <c r="H52" s="36" t="s">
        <v>275</v>
      </c>
      <c r="I52" s="36" t="s">
        <v>216</v>
      </c>
      <c r="J52" s="37" t="s">
        <v>267</v>
      </c>
      <c r="K52" s="36">
        <v>12</v>
      </c>
      <c r="L52" s="36"/>
    </row>
    <row r="53" spans="1:12" ht="15.75" thickBot="1" x14ac:dyDescent="0.3">
      <c r="A53" s="1"/>
      <c r="B53" s="50">
        <f t="shared" si="0"/>
        <v>44</v>
      </c>
      <c r="C53" s="54" t="s">
        <v>18</v>
      </c>
      <c r="D53" s="38" t="s">
        <v>66</v>
      </c>
      <c r="E53" s="39" t="s">
        <v>123</v>
      </c>
      <c r="F53" s="38" t="s">
        <v>157</v>
      </c>
      <c r="G53" s="39" t="s">
        <v>204</v>
      </c>
      <c r="H53" s="36" t="s">
        <v>275</v>
      </c>
      <c r="I53" s="38" t="s">
        <v>216</v>
      </c>
      <c r="J53" s="39" t="s">
        <v>268</v>
      </c>
      <c r="K53" s="38">
        <v>6</v>
      </c>
      <c r="L53" s="38"/>
    </row>
    <row r="54" spans="1:12" ht="15.75" thickBot="1" x14ac:dyDescent="0.3">
      <c r="A54" s="1"/>
      <c r="B54" s="50">
        <f>ROW(B54) - ROW($B$9)</f>
        <v>45</v>
      </c>
      <c r="C54" s="54" t="s">
        <v>18</v>
      </c>
      <c r="D54" s="36" t="s">
        <v>67</v>
      </c>
      <c r="E54" s="37" t="s">
        <v>124</v>
      </c>
      <c r="F54" s="36" t="s">
        <v>158</v>
      </c>
      <c r="G54" s="37" t="s">
        <v>205</v>
      </c>
      <c r="H54" s="36" t="s">
        <v>275</v>
      </c>
      <c r="I54" s="36" t="s">
        <v>216</v>
      </c>
      <c r="J54" s="37" t="s">
        <v>269</v>
      </c>
      <c r="K54" s="36">
        <v>6</v>
      </c>
      <c r="L54" s="36"/>
    </row>
    <row r="55" spans="1:12" ht="36.75" thickBot="1" x14ac:dyDescent="0.3">
      <c r="A55" s="1"/>
      <c r="B55" s="50">
        <f t="shared" si="0"/>
        <v>46</v>
      </c>
      <c r="C55" s="54" t="s">
        <v>19</v>
      </c>
      <c r="D55" s="38" t="s">
        <v>68</v>
      </c>
      <c r="E55" s="39" t="s">
        <v>125</v>
      </c>
      <c r="F55" s="38" t="s">
        <v>159</v>
      </c>
      <c r="G55" s="39" t="s">
        <v>159</v>
      </c>
      <c r="H55" s="36" t="s">
        <v>275</v>
      </c>
      <c r="I55" s="38" t="s">
        <v>275</v>
      </c>
      <c r="J55" s="39" t="s">
        <v>275</v>
      </c>
      <c r="K55" s="38">
        <v>20</v>
      </c>
      <c r="L55" s="38"/>
    </row>
    <row r="56" spans="1:12" ht="48.75" thickBot="1" x14ac:dyDescent="0.3">
      <c r="A56" s="1"/>
      <c r="B56" s="50">
        <f>ROW(B56) - ROW($B$9)</f>
        <v>47</v>
      </c>
      <c r="C56" s="54" t="s">
        <v>20</v>
      </c>
      <c r="D56" s="36" t="s">
        <v>69</v>
      </c>
      <c r="E56" s="37" t="s">
        <v>126</v>
      </c>
      <c r="F56" s="55" t="s">
        <v>274</v>
      </c>
      <c r="G56" s="37" t="s">
        <v>160</v>
      </c>
      <c r="H56" s="36" t="s">
        <v>275</v>
      </c>
      <c r="I56" s="36" t="s">
        <v>238</v>
      </c>
      <c r="J56" s="37" t="s">
        <v>275</v>
      </c>
      <c r="K56" s="36">
        <v>2</v>
      </c>
      <c r="L56" s="36"/>
    </row>
    <row r="57" spans="1:12" ht="15.75" thickBot="1" x14ac:dyDescent="0.3">
      <c r="A57" s="1"/>
      <c r="B57" s="50">
        <f t="shared" si="0"/>
        <v>48</v>
      </c>
      <c r="C57" s="54" t="s">
        <v>21</v>
      </c>
      <c r="D57" s="38" t="s">
        <v>70</v>
      </c>
      <c r="E57" s="39" t="s">
        <v>127</v>
      </c>
      <c r="F57" s="38" t="s">
        <v>161</v>
      </c>
      <c r="G57" s="39" t="s">
        <v>206</v>
      </c>
      <c r="H57" s="36" t="s">
        <v>275</v>
      </c>
      <c r="I57" s="38" t="s">
        <v>239</v>
      </c>
      <c r="J57" s="39" t="s">
        <v>275</v>
      </c>
      <c r="K57" s="38">
        <v>2</v>
      </c>
      <c r="L57" s="38"/>
    </row>
    <row r="58" spans="1:12" ht="24.75" thickBot="1" x14ac:dyDescent="0.3">
      <c r="A58" s="1"/>
      <c r="B58" s="50">
        <f>ROW(B58) - ROW($B$9)</f>
        <v>49</v>
      </c>
      <c r="C58" s="54" t="s">
        <v>21</v>
      </c>
      <c r="D58" s="36" t="s">
        <v>71</v>
      </c>
      <c r="E58" s="37" t="s">
        <v>128</v>
      </c>
      <c r="F58" s="36" t="s">
        <v>162</v>
      </c>
      <c r="G58" s="37" t="s">
        <v>207</v>
      </c>
      <c r="H58" s="36" t="s">
        <v>275</v>
      </c>
      <c r="I58" s="36" t="s">
        <v>240</v>
      </c>
      <c r="J58" s="37" t="s">
        <v>275</v>
      </c>
      <c r="K58" s="36">
        <v>1</v>
      </c>
      <c r="L58" s="36"/>
    </row>
    <row r="59" spans="1:12" ht="24.75" thickBot="1" x14ac:dyDescent="0.3">
      <c r="A59" s="1"/>
      <c r="B59" s="50">
        <f t="shared" si="0"/>
        <v>50</v>
      </c>
      <c r="C59" s="54" t="s">
        <v>21</v>
      </c>
      <c r="D59" s="38" t="s">
        <v>72</v>
      </c>
      <c r="E59" s="39" t="s">
        <v>129</v>
      </c>
      <c r="F59" s="38" t="s">
        <v>163</v>
      </c>
      <c r="G59" s="39" t="s">
        <v>208</v>
      </c>
      <c r="H59" s="36" t="s">
        <v>275</v>
      </c>
      <c r="I59" s="38" t="s">
        <v>241</v>
      </c>
      <c r="J59" s="39" t="s">
        <v>275</v>
      </c>
      <c r="K59" s="38">
        <v>1</v>
      </c>
      <c r="L59" s="38"/>
    </row>
    <row r="60" spans="1:12" ht="24.75" thickBot="1" x14ac:dyDescent="0.3">
      <c r="A60" s="1"/>
      <c r="B60" s="50">
        <f>ROW(B60) - ROW($B$9)</f>
        <v>51</v>
      </c>
      <c r="C60" s="54" t="s">
        <v>21</v>
      </c>
      <c r="D60" s="36" t="s">
        <v>73</v>
      </c>
      <c r="E60" s="37" t="s">
        <v>130</v>
      </c>
      <c r="F60" s="36" t="s">
        <v>164</v>
      </c>
      <c r="G60" s="37" t="s">
        <v>209</v>
      </c>
      <c r="H60" s="36" t="s">
        <v>275</v>
      </c>
      <c r="I60" s="36" t="s">
        <v>242</v>
      </c>
      <c r="J60" s="37" t="s">
        <v>275</v>
      </c>
      <c r="K60" s="36">
        <v>1</v>
      </c>
      <c r="L60" s="36"/>
    </row>
    <row r="61" spans="1:12" ht="15.75" thickBot="1" x14ac:dyDescent="0.3">
      <c r="A61" s="1"/>
      <c r="B61" s="50">
        <f t="shared" si="0"/>
        <v>52</v>
      </c>
      <c r="C61" s="54" t="s">
        <v>21</v>
      </c>
      <c r="D61" s="38" t="s">
        <v>74</v>
      </c>
      <c r="E61" s="39" t="s">
        <v>131</v>
      </c>
      <c r="F61" s="38" t="s">
        <v>165</v>
      </c>
      <c r="G61" s="39" t="s">
        <v>210</v>
      </c>
      <c r="H61" s="36" t="s">
        <v>275</v>
      </c>
      <c r="I61" s="38" t="s">
        <v>239</v>
      </c>
      <c r="J61" s="39" t="s">
        <v>275</v>
      </c>
      <c r="K61" s="38">
        <v>2</v>
      </c>
      <c r="L61" s="38"/>
    </row>
    <row r="62" spans="1:12" ht="24.75" thickBot="1" x14ac:dyDescent="0.3">
      <c r="A62" s="1"/>
      <c r="B62" s="50">
        <f>ROW(B62) - ROW($B$9)</f>
        <v>53</v>
      </c>
      <c r="C62" s="54" t="s">
        <v>21</v>
      </c>
      <c r="D62" s="36" t="s">
        <v>75</v>
      </c>
      <c r="E62" s="37" t="s">
        <v>132</v>
      </c>
      <c r="F62" s="36" t="s">
        <v>166</v>
      </c>
      <c r="G62" s="37" t="s">
        <v>211</v>
      </c>
      <c r="H62" s="36" t="s">
        <v>275</v>
      </c>
      <c r="I62" s="36" t="s">
        <v>239</v>
      </c>
      <c r="J62" s="37" t="s">
        <v>275</v>
      </c>
      <c r="K62" s="36">
        <v>6</v>
      </c>
      <c r="L62" s="36"/>
    </row>
    <row r="63" spans="1:12" ht="15.75" thickBot="1" x14ac:dyDescent="0.3">
      <c r="A63" s="1"/>
      <c r="B63" s="50">
        <f t="shared" si="0"/>
        <v>54</v>
      </c>
      <c r="C63" s="54" t="s">
        <v>21</v>
      </c>
      <c r="D63" s="38" t="s">
        <v>76</v>
      </c>
      <c r="E63" s="39" t="s">
        <v>133</v>
      </c>
      <c r="F63" s="38" t="s">
        <v>167</v>
      </c>
      <c r="G63" s="39" t="s">
        <v>212</v>
      </c>
      <c r="H63" s="36" t="s">
        <v>275</v>
      </c>
      <c r="I63" s="38" t="s">
        <v>243</v>
      </c>
      <c r="J63" s="39" t="s">
        <v>275</v>
      </c>
      <c r="K63" s="38">
        <v>6</v>
      </c>
      <c r="L63" s="38"/>
    </row>
    <row r="64" spans="1:12" ht="36.75" thickBot="1" x14ac:dyDescent="0.3">
      <c r="A64" s="1"/>
      <c r="B64" s="50">
        <f>ROW(B64) - ROW($B$9)</f>
        <v>55</v>
      </c>
      <c r="C64" s="54" t="s">
        <v>22</v>
      </c>
      <c r="D64" s="36" t="s">
        <v>77</v>
      </c>
      <c r="E64" s="37" t="s">
        <v>134</v>
      </c>
      <c r="F64" s="36" t="s">
        <v>168</v>
      </c>
      <c r="G64" s="37" t="s">
        <v>213</v>
      </c>
      <c r="H64" s="36" t="s">
        <v>275</v>
      </c>
      <c r="I64" s="36" t="s">
        <v>244</v>
      </c>
      <c r="J64" s="37" t="s">
        <v>275</v>
      </c>
      <c r="K64" s="36">
        <v>1</v>
      </c>
      <c r="L64" s="36"/>
    </row>
    <row r="65" spans="1:12" ht="15.75" thickBot="1" x14ac:dyDescent="0.3">
      <c r="A65" s="1"/>
      <c r="B65" s="50">
        <f t="shared" si="0"/>
        <v>56</v>
      </c>
      <c r="C65" s="54" t="s">
        <v>22</v>
      </c>
      <c r="D65" s="38" t="s">
        <v>78</v>
      </c>
      <c r="E65" s="39" t="s">
        <v>135</v>
      </c>
      <c r="F65" s="55" t="s">
        <v>274</v>
      </c>
      <c r="G65" s="39" t="s">
        <v>214</v>
      </c>
      <c r="H65" s="36" t="s">
        <v>275</v>
      </c>
      <c r="I65" s="38" t="s">
        <v>245</v>
      </c>
      <c r="J65" s="39" t="s">
        <v>275</v>
      </c>
      <c r="K65" s="38">
        <v>1</v>
      </c>
      <c r="L65" s="38"/>
    </row>
    <row r="66" spans="1:12" ht="15.75" thickBot="1" x14ac:dyDescent="0.3">
      <c r="A66" s="1"/>
      <c r="B66" s="50">
        <f t="shared" si="0"/>
        <v>57</v>
      </c>
      <c r="C66" s="56" t="s">
        <v>304</v>
      </c>
      <c r="D66" s="38" t="s">
        <v>275</v>
      </c>
      <c r="E66" s="38" t="s">
        <v>278</v>
      </c>
      <c r="F66" s="56" t="s">
        <v>275</v>
      </c>
      <c r="G66" s="37" t="s">
        <v>279</v>
      </c>
      <c r="H66" s="36" t="s">
        <v>275</v>
      </c>
      <c r="I66" s="37" t="s">
        <v>294</v>
      </c>
      <c r="J66" s="56" t="s">
        <v>275</v>
      </c>
      <c r="K66" s="56">
        <v>1</v>
      </c>
      <c r="L66" s="38"/>
    </row>
    <row r="67" spans="1:12" ht="15.75" thickBot="1" x14ac:dyDescent="0.3">
      <c r="A67" s="1"/>
      <c r="B67" s="50">
        <f t="shared" si="0"/>
        <v>58</v>
      </c>
      <c r="C67" s="56" t="s">
        <v>304</v>
      </c>
      <c r="D67" s="36" t="s">
        <v>275</v>
      </c>
      <c r="E67" s="38" t="s">
        <v>280</v>
      </c>
      <c r="F67" s="38" t="s">
        <v>275</v>
      </c>
      <c r="G67" s="37" t="s">
        <v>281</v>
      </c>
      <c r="H67" s="36" t="s">
        <v>275</v>
      </c>
      <c r="I67" s="37" t="s">
        <v>295</v>
      </c>
      <c r="J67" s="38" t="s">
        <v>275</v>
      </c>
      <c r="K67" s="54">
        <v>1</v>
      </c>
      <c r="L67" s="38"/>
    </row>
    <row r="68" spans="1:12" ht="15.75" thickBot="1" x14ac:dyDescent="0.3">
      <c r="A68" s="1"/>
      <c r="B68" s="50">
        <f t="shared" si="0"/>
        <v>59</v>
      </c>
      <c r="C68" s="56" t="s">
        <v>304</v>
      </c>
      <c r="D68" s="38" t="s">
        <v>275</v>
      </c>
      <c r="E68" s="38" t="s">
        <v>282</v>
      </c>
      <c r="F68" s="36" t="s">
        <v>275</v>
      </c>
      <c r="G68" s="37" t="s">
        <v>283</v>
      </c>
      <c r="H68" s="36" t="s">
        <v>275</v>
      </c>
      <c r="I68" s="37" t="s">
        <v>296</v>
      </c>
      <c r="J68" s="36" t="s">
        <v>275</v>
      </c>
      <c r="K68" s="54">
        <v>1</v>
      </c>
      <c r="L68" s="38"/>
    </row>
    <row r="69" spans="1:12" ht="15.75" thickBot="1" x14ac:dyDescent="0.3">
      <c r="A69" s="1"/>
      <c r="B69" s="50">
        <f t="shared" si="0"/>
        <v>60</v>
      </c>
      <c r="C69" s="56" t="s">
        <v>304</v>
      </c>
      <c r="D69" s="36" t="s">
        <v>275</v>
      </c>
      <c r="E69" s="38" t="s">
        <v>284</v>
      </c>
      <c r="F69" s="38" t="s">
        <v>275</v>
      </c>
      <c r="G69" s="37" t="s">
        <v>285</v>
      </c>
      <c r="H69" s="36" t="s">
        <v>275</v>
      </c>
      <c r="I69" s="37" t="s">
        <v>297</v>
      </c>
      <c r="J69" s="38" t="s">
        <v>275</v>
      </c>
      <c r="K69" s="54">
        <v>1</v>
      </c>
      <c r="L69" s="38"/>
    </row>
    <row r="70" spans="1:12" ht="15.75" thickBot="1" x14ac:dyDescent="0.3">
      <c r="A70" s="1"/>
      <c r="B70" s="50">
        <f t="shared" si="0"/>
        <v>61</v>
      </c>
      <c r="C70" s="56" t="s">
        <v>304</v>
      </c>
      <c r="D70" s="38" t="s">
        <v>275</v>
      </c>
      <c r="E70" s="38" t="s">
        <v>286</v>
      </c>
      <c r="F70" s="36" t="s">
        <v>275</v>
      </c>
      <c r="G70" s="37" t="s">
        <v>287</v>
      </c>
      <c r="H70" s="36" t="s">
        <v>275</v>
      </c>
      <c r="I70" s="37" t="s">
        <v>298</v>
      </c>
      <c r="J70" s="36" t="s">
        <v>275</v>
      </c>
      <c r="K70" s="54">
        <v>1</v>
      </c>
      <c r="L70" s="38"/>
    </row>
    <row r="71" spans="1:12" ht="15.75" thickBot="1" x14ac:dyDescent="0.3">
      <c r="A71" s="1"/>
      <c r="B71" s="50">
        <f t="shared" si="0"/>
        <v>62</v>
      </c>
      <c r="C71" s="56" t="s">
        <v>304</v>
      </c>
      <c r="D71" s="36" t="s">
        <v>275</v>
      </c>
      <c r="E71" s="38" t="s">
        <v>288</v>
      </c>
      <c r="F71" s="38" t="s">
        <v>275</v>
      </c>
      <c r="G71" s="37" t="s">
        <v>289</v>
      </c>
      <c r="H71" s="36" t="s">
        <v>275</v>
      </c>
      <c r="I71" s="37" t="s">
        <v>299</v>
      </c>
      <c r="J71" s="38" t="s">
        <v>275</v>
      </c>
      <c r="K71" s="54">
        <v>1</v>
      </c>
      <c r="L71" s="38"/>
    </row>
    <row r="72" spans="1:12" ht="15.75" thickBot="1" x14ac:dyDescent="0.3">
      <c r="A72" s="1"/>
      <c r="B72" s="50">
        <f t="shared" si="0"/>
        <v>63</v>
      </c>
      <c r="C72" s="56" t="s">
        <v>304</v>
      </c>
      <c r="D72" s="36" t="s">
        <v>275</v>
      </c>
      <c r="E72" s="38" t="s">
        <v>290</v>
      </c>
      <c r="F72" s="36" t="s">
        <v>275</v>
      </c>
      <c r="G72" s="37" t="s">
        <v>291</v>
      </c>
      <c r="H72" s="36" t="s">
        <v>275</v>
      </c>
      <c r="I72" s="37" t="s">
        <v>300</v>
      </c>
      <c r="J72" s="36" t="s">
        <v>275</v>
      </c>
      <c r="K72" s="54">
        <v>1</v>
      </c>
      <c r="L72" s="38"/>
    </row>
    <row r="73" spans="1:12" ht="15.75" thickBot="1" x14ac:dyDescent="0.3">
      <c r="A73" s="1"/>
      <c r="B73" s="50">
        <f t="shared" si="0"/>
        <v>64</v>
      </c>
      <c r="C73" s="56" t="s">
        <v>304</v>
      </c>
      <c r="D73" s="54" t="s">
        <v>275</v>
      </c>
      <c r="E73" s="38" t="s">
        <v>292</v>
      </c>
      <c r="F73" s="36" t="s">
        <v>275</v>
      </c>
      <c r="G73" s="37" t="s">
        <v>293</v>
      </c>
      <c r="H73" s="36" t="s">
        <v>275</v>
      </c>
      <c r="I73" s="37" t="s">
        <v>301</v>
      </c>
      <c r="J73" s="36" t="s">
        <v>275</v>
      </c>
      <c r="K73" s="54">
        <v>1</v>
      </c>
      <c r="L73" s="38"/>
    </row>
    <row r="74" spans="1:12" x14ac:dyDescent="0.25">
      <c r="A74" s="1"/>
      <c r="B74" s="31"/>
      <c r="C74" s="48"/>
      <c r="D74" s="32"/>
      <c r="E74" s="33"/>
      <c r="F74" s="34"/>
      <c r="G74" s="35"/>
      <c r="H74" s="35"/>
      <c r="I74" s="34"/>
      <c r="J74" s="35"/>
      <c r="K74" s="35"/>
      <c r="L74" s="41"/>
    </row>
    <row r="75" spans="1:12" ht="15.75" thickBot="1" x14ac:dyDescent="0.3">
      <c r="A75" s="1"/>
      <c r="B75" s="24"/>
      <c r="C75" s="49"/>
      <c r="D75" s="8"/>
      <c r="E75" s="9"/>
      <c r="F75" s="9"/>
      <c r="G75" s="9"/>
      <c r="H75" s="9"/>
      <c r="I75" s="9"/>
      <c r="J75" s="9"/>
      <c r="K75" s="9"/>
      <c r="L75" s="42"/>
    </row>
  </sheetData>
  <mergeCells count="2">
    <mergeCell ref="J1:L1"/>
    <mergeCell ref="L3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2023-06-15T12:51:38Z</dcterms:modified>
</cp:coreProperties>
</file>