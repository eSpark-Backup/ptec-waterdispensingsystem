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BOM\"/>
    </mc:Choice>
  </mc:AlternateContent>
  <bookViews>
    <workbookView xWindow="28680" yWindow="-120" windowWidth="29040" windowHeight="15840"/>
  </bookViews>
  <sheets>
    <sheet name=" 5 Boards" sheetId="1" r:id="rId1"/>
  </sheets>
  <calcPr calcId="162913"/>
</workbook>
</file>

<file path=xl/calcChain.xml><?xml version="1.0" encoding="utf-8"?>
<calcChain xmlns="http://schemas.openxmlformats.org/spreadsheetml/2006/main">
  <c r="Q74" i="1" l="1"/>
  <c r="M67" i="1" l="1"/>
  <c r="M68" i="1"/>
  <c r="M69" i="1"/>
  <c r="M70" i="1"/>
  <c r="M71" i="1"/>
  <c r="M72" i="1"/>
  <c r="M73" i="1"/>
  <c r="M66" i="1"/>
  <c r="Q66" i="1"/>
  <c r="Q67" i="1"/>
  <c r="Q68" i="1"/>
  <c r="Q69" i="1"/>
  <c r="Q70" i="1"/>
  <c r="Q71" i="1"/>
  <c r="Q72" i="1"/>
  <c r="Q73" i="1"/>
  <c r="Q11" i="1" l="1"/>
  <c r="Q10" i="1"/>
  <c r="Q65" i="1" l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75" i="1" l="1"/>
  <c r="M11" i="1"/>
  <c r="M10" i="1"/>
  <c r="B11" i="1"/>
  <c r="B10" i="1"/>
</calcChain>
</file>

<file path=xl/sharedStrings.xml><?xml version="1.0" encoding="utf-8"?>
<sst xmlns="http://schemas.openxmlformats.org/spreadsheetml/2006/main" count="670" uniqueCount="376">
  <si>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</si>
  <si>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</si>
  <si>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</si>
  <si>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</si>
  <si>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</si>
  <si>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</si>
  <si>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</si>
  <si>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</si>
  <si>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</si>
  <si>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</si>
  <si>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</si>
  <si>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Fuse</t>
  </si>
  <si>
    <t>THrough Hole Pads</t>
  </si>
  <si>
    <t>JST Connector</t>
  </si>
  <si>
    <t>Header</t>
  </si>
  <si>
    <t>Terminal Block</t>
  </si>
  <si>
    <t>JST Right Angle</t>
  </si>
  <si>
    <t>Inductor</t>
  </si>
  <si>
    <t>LED</t>
  </si>
  <si>
    <t>Potentiometer</t>
  </si>
  <si>
    <t>Resistor</t>
  </si>
  <si>
    <t>Solder Bridge</t>
  </si>
  <si>
    <t>Switch</t>
  </si>
  <si>
    <t>IC</t>
  </si>
  <si>
    <t>Crystal</t>
  </si>
  <si>
    <t>Designator</t>
  </si>
  <si>
    <t>C1, C13, C25, C27</t>
  </si>
  <si>
    <t>C2, C3, C10, C14, C16, C23, C24, C26, C32, C36, C37, C38, C42, C43, C44</t>
  </si>
  <si>
    <t>C4, C6, C8, C18, C20, C21</t>
  </si>
  <si>
    <t>C5, C11</t>
  </si>
  <si>
    <t>C7</t>
  </si>
  <si>
    <t>C9</t>
  </si>
  <si>
    <t>C12, C15</t>
  </si>
  <si>
    <t>C17, C19</t>
  </si>
  <si>
    <t>C22</t>
  </si>
  <si>
    <t>C28, C29</t>
  </si>
  <si>
    <t>C30, C31</t>
  </si>
  <si>
    <t>C33, C34, C35, C39, C40, C41</t>
  </si>
  <si>
    <t>D1</t>
  </si>
  <si>
    <t>D2</t>
  </si>
  <si>
    <t>D3</t>
  </si>
  <si>
    <t>D4, D5, D6, D16, D17, D18</t>
  </si>
  <si>
    <t>D7, D8, D9, D10, D11, D12, D13, D14, D15, D19, D20, D21, D22, D23, D24, D25, D26, D27</t>
  </si>
  <si>
    <t>F1</t>
  </si>
  <si>
    <t>F2, F3, F4, F5, F6, F7, F8, F9, F10, F11, F12, F13</t>
  </si>
  <si>
    <t>J1</t>
  </si>
  <si>
    <t>J2, J3, J4</t>
  </si>
  <si>
    <t>J5</t>
  </si>
  <si>
    <t>J6</t>
  </si>
  <si>
    <t>J7</t>
  </si>
  <si>
    <t>J8, J9, J10, J11, J12, J13, J14, J15, J16, J17</t>
  </si>
  <si>
    <t>J18</t>
  </si>
  <si>
    <t>J19</t>
  </si>
  <si>
    <t>L1</t>
  </si>
  <si>
    <t>L2</t>
  </si>
  <si>
    <t>L3</t>
  </si>
  <si>
    <t>LED1, LED2, LED3, LED4, LED5, LED6, LED7, LED8, LED9, LED10, LED11, LED12</t>
  </si>
  <si>
    <t>P1</t>
  </si>
  <si>
    <t>PT1</t>
  </si>
  <si>
    <t>R1</t>
  </si>
  <si>
    <t>R2, R4</t>
  </si>
  <si>
    <t>R3</t>
  </si>
  <si>
    <t>R5</t>
  </si>
  <si>
    <t>R6</t>
  </si>
  <si>
    <t>R7</t>
  </si>
  <si>
    <t>R8, R15, R16, R23</t>
  </si>
  <si>
    <t>R9, R10, R11, R12, R13, R14, R17, R18, R19, R20, R21, R22, R36, R37, R38, R40, R42, R44, R45, R46, R47, R69, R70, R71, R73, R75, R77, R78, R79, R80</t>
  </si>
  <si>
    <t>R24, R25, R26, R39, R41, R43, R51, R52, R53, R54, R55, R56, R57, R58, R59, R72, R74, R76, R84, R85, R86, R87, R88, R89</t>
  </si>
  <si>
    <t>R27, R28, R29, R30, R31, R32, R60, R61, R62, R63, R64, R65</t>
  </si>
  <si>
    <t>R33, R34, R35, R66, R67, R68</t>
  </si>
  <si>
    <t>R48, R49, R50, R81, R82, R83</t>
  </si>
  <si>
    <t>SB1, SB2, SB3, SB4, SB5, SB6, SB7, SB8, SB9, SB10, SB11, SB12, SB13, SB14, SB15, SB16, SB17, SB18, SB19, SB20</t>
  </si>
  <si>
    <t>SW1, SW2</t>
  </si>
  <si>
    <t>U1, U4</t>
  </si>
  <si>
    <t>U2</t>
  </si>
  <si>
    <t>U3</t>
  </si>
  <si>
    <t>U5</t>
  </si>
  <si>
    <t>U6, U7</t>
  </si>
  <si>
    <t>U8, U9, U10, U14, U15, U16</t>
  </si>
  <si>
    <t>U11, U12, U13, U17, U18, U19</t>
  </si>
  <si>
    <t>X1</t>
  </si>
  <si>
    <t>X2</t>
  </si>
  <si>
    <t>Description</t>
  </si>
  <si>
    <t>CAP CER 2.2UF 50V X5R 0805</t>
  </si>
  <si>
    <t>CAP CER 0.1UF 50V X5R 0603</t>
  </si>
  <si>
    <t>CAP CER 10UF 10V X5R 0603</t>
  </si>
  <si>
    <t>CAP CER 2.2UF 25V X5R 0603</t>
  </si>
  <si>
    <t>CAP CER 10000PF 50V C0G/NPO 0603</t>
  </si>
  <si>
    <t>CAP ALUM 100UF 20% 50V SMD</t>
  </si>
  <si>
    <t>CAP CER 10000PF 50V X7R 0402</t>
  </si>
  <si>
    <t>27uF 35V ±20% SMD,D6.3xL5.7mm Aluminum Electrolytic Capacitors - SMD ROHS</t>
  </si>
  <si>
    <t>10uF 10V 8Ω@100kHz ±10% CASE-A-3216 Tantalum Capacitors ROHS</t>
  </si>
  <si>
    <t>CAP CER 20PF 50V C0G/NPO 0603</t>
  </si>
  <si>
    <t>CAP CER 10PF 50V C0G/NPO 0603</t>
  </si>
  <si>
    <t>CAP CER 0.022UF 16V X5R 0402</t>
  </si>
  <si>
    <t>40V 650mV@10A 10A SMC(DO-214AB) Schottky Barrier Diodes (SBD) ROHS</t>
  </si>
  <si>
    <t>58.1V 40V 36V Bi-Directional SMB(DO-214AA) TVS ROHS</t>
  </si>
  <si>
    <t>200V 900mV@2A 2A SMB(DO-214AA) Schottky Barrier Diodes (SBD) ROHS</t>
  </si>
  <si>
    <t>DIODE GEN PURP 100V 300MA SOD123</t>
  </si>
  <si>
    <t>TVS DIODE 6.5VWM 11.2VC DO214AC</t>
  </si>
  <si>
    <t>30V 5A 5A 2920 Resettable Fuses ROHS</t>
  </si>
  <si>
    <t>60V 100mA 40A 300mA 1812 Resettable Fuses ROHS</t>
  </si>
  <si>
    <t>Wire Connecting Pad</t>
  </si>
  <si>
    <t>CONN HEADER VERT 4POS 2.5MM</t>
  </si>
  <si>
    <t>CONN HEADER 6 POS 2.54</t>
  </si>
  <si>
    <t>2.54mm Plugin 3A -40℃~+105℃ Straight 1x8P 8.5mm Top 8 Square Holes Plugin,P=2.54mm Female Headers ROHS</t>
  </si>
  <si>
    <t>2.54mm Plugin Brass Straight 1x20P 20 Plugin,P=2.54mm Female Headers ROHS</t>
  </si>
  <si>
    <t>-40℃~+105℃ 20A 300V Green Corner pin Double - Walled(Double) 14~22 Straight pin 2 1 7.62mm Plugin,P=7.62mm Barrier Terminal Blocks ROHS</t>
  </si>
  <si>
    <t>2.5 18A Green Straight pin 5.08mm 1 14~30 2 Straight,P=5.08mm</t>
  </si>
  <si>
    <t>1x5P 1 1.25mm Male pin 5 -25℃~+85℃ Surface Mount SMD,P=1.25mm Wire To Board / Wire To Wire Connector ROHS</t>
  </si>
  <si>
    <t>2.9A 22uH ±20% 66mΩ SMD,12x12x5mm Power Inductors ROHS</t>
  </si>
  <si>
    <t>6A 33uH ±20% SMD,15x15x8mm Power Inductors ROHS</t>
  </si>
  <si>
    <t>Fixed Ind 1020%UH 0.029 Ohm 4100M</t>
  </si>
  <si>
    <t>Emerald 0603 Light Emitting Diodes (LED) ROHS</t>
  </si>
  <si>
    <t>XT60 CONNECTORS MALE/FEMALE PAIR</t>
  </si>
  <si>
    <t>TRIMMER 10KOHM 0.125W J LEAD TOP</t>
  </si>
  <si>
    <t>RES SMD 422K OHM 0.1% 1/8W 0805</t>
  </si>
  <si>
    <t>RES SMD 22.1KOHM 0.1% 1/16W 0402</t>
  </si>
  <si>
    <t>RES SMD 162K OHM 0.1% 1/16W 0402</t>
  </si>
  <si>
    <t>RES SMD 18.7KOHM 0.1% 1/16W 0402</t>
  </si>
  <si>
    <t>RES SMD 6.98KOHM 0.1% 1/16W 0402</t>
  </si>
  <si>
    <t>RES 1K OHM 1% 1/16W 0402</t>
  </si>
  <si>
    <t>RES 10K OHM 1% 1/16W 0402</t>
  </si>
  <si>
    <t>RES 0 OHM JUMPER 1/16W 0402</t>
  </si>
  <si>
    <t>RES 4.7K OHM 1% 1/16W 0402</t>
  </si>
  <si>
    <t>RES 2.4K OHM 1% 1/16W 0402</t>
  </si>
  <si>
    <t>RES 56K OHM 1% 1/16W 0402</t>
  </si>
  <si>
    <t>RES 120 OHM 1% 1/10W 0603</t>
  </si>
  <si>
    <t>Solder Bridge ON</t>
  </si>
  <si>
    <t>No NO 50mA 4.5mm 100000 260gf 12V -30℃~+85℃ 4.5mm 4.3mm Black Round Button Brick nogging SPST SMD Tactile Switches ROHS</t>
  </si>
  <si>
    <t>IC REG BUCK ADJ 2A SOT23-THIN</t>
  </si>
  <si>
    <t>SPX3819 Series 3.3 V 500 mA Fixed Output SMT LDO Regulator - SOT-23-5</t>
  </si>
  <si>
    <t>IC REG BUCK ADJ 5A TO263-7</t>
  </si>
  <si>
    <t>MCU 32-bit ARM Cortex M4 RISC 1MB Flash 3.3V 100-Pin LQFP Frame</t>
  </si>
  <si>
    <t>IC 8-BIT TRNSTR 15KV ESD 20TSSOP</t>
  </si>
  <si>
    <t>6 16ns@6V,50pF 2uA 2V~6V SOIC-14-208mil Inverters ROHS</t>
  </si>
  <si>
    <t>SOP-8 RS-485/RS-422 ICs ROHS</t>
  </si>
  <si>
    <t>16MHz SMD Crystal Resonator 9pF ±10ppm ±30ppm -40℃~+85℃ SMD3225-4P Crystals ROHS</t>
  </si>
  <si>
    <t>CRYSTAL 32.7680KHZ 6PF SMD</t>
  </si>
  <si>
    <t>Footprint</t>
  </si>
  <si>
    <t>Cap-0805</t>
  </si>
  <si>
    <t>Cap-0603</t>
  </si>
  <si>
    <t>CAP-0603</t>
  </si>
  <si>
    <t>Cap-0402</t>
  </si>
  <si>
    <t>VUA270M1VTR-0606</t>
  </si>
  <si>
    <t>SMC</t>
  </si>
  <si>
    <t>SMB_</t>
  </si>
  <si>
    <t>SOD-123</t>
  </si>
  <si>
    <t>SMA</t>
  </si>
  <si>
    <t>Fuse-2920</t>
  </si>
  <si>
    <t>Fuse-1812_</t>
  </si>
  <si>
    <t>2P THrough Hole Pads</t>
  </si>
  <si>
    <t>JL762B-76202GA1</t>
  </si>
  <si>
    <t>1.25-5PWB</t>
  </si>
  <si>
    <t>YPRH1508-330M</t>
  </si>
  <si>
    <t>SWPA8040S100MT</t>
  </si>
  <si>
    <t>LED-0603</t>
  </si>
  <si>
    <t>PRT-10474</t>
  </si>
  <si>
    <t>3313J-1-103E</t>
  </si>
  <si>
    <t>RES-0805</t>
  </si>
  <si>
    <t>Res-0402</t>
  </si>
  <si>
    <t>Res-0603</t>
  </si>
  <si>
    <t>Solder Bridge 0402</t>
  </si>
  <si>
    <t>TS-1109S-C-B</t>
  </si>
  <si>
    <t>SOT-23-6 THIN</t>
  </si>
  <si>
    <t>SOT-23-5</t>
  </si>
  <si>
    <t>TO-263-7</t>
  </si>
  <si>
    <t>LQFP-100</t>
  </si>
  <si>
    <t>TSSOP-20</t>
  </si>
  <si>
    <t>14-SOIC</t>
  </si>
  <si>
    <t>SOP-8</t>
  </si>
  <si>
    <t>SMD3225-4P</t>
  </si>
  <si>
    <t>Manufacturer Part Number</t>
  </si>
  <si>
    <t>CC0805KKX5R9BB225</t>
  </si>
  <si>
    <t>CC0603KRX5R9BB104</t>
  </si>
  <si>
    <t>CC0603KRX5R6BB106</t>
  </si>
  <si>
    <t>CC0603KRX5R8BB225</t>
  </si>
  <si>
    <t>CC0603JRNPO9BN103</t>
  </si>
  <si>
    <t>UUD1H101MNL1GS</t>
  </si>
  <si>
    <t>CC0402KRX7R9BB103</t>
  </si>
  <si>
    <t>CA45-A-10V-10uF-K</t>
  </si>
  <si>
    <t>CC0603JRNPO9BN200</t>
  </si>
  <si>
    <t>CC0603JRNPO9BN100</t>
  </si>
  <si>
    <t>CC0402KRX5R7BB223</t>
  </si>
  <si>
    <t>SK104C</t>
  </si>
  <si>
    <t>SMBJ36CA</t>
  </si>
  <si>
    <t>SK220-LTP</t>
  </si>
  <si>
    <t>1N4148W-7-F</t>
  </si>
  <si>
    <t>SMAJ6.5CA</t>
  </si>
  <si>
    <t>SHV2920P500-30-AA</t>
  </si>
  <si>
    <t>MF-MSMF010-2</t>
  </si>
  <si>
    <t>B4B-XH-A(LF)(SN)</t>
  </si>
  <si>
    <t>KH-2.54FH-1X8P-H8.5</t>
  </si>
  <si>
    <t>B-2200S20P-A120</t>
  </si>
  <si>
    <t>WJ500V-5.08-2P</t>
  </si>
  <si>
    <t>YPRH1204-220M</t>
  </si>
  <si>
    <t>NCD0603G2</t>
  </si>
  <si>
    <t>RT0805BRD07422KL</t>
  </si>
  <si>
    <t>RT0402BRD0722K1L</t>
  </si>
  <si>
    <t>RT0402BRD07162KL</t>
  </si>
  <si>
    <t>RT0402BRD0718K7L</t>
  </si>
  <si>
    <t>RT0402BRD076K98L</t>
  </si>
  <si>
    <t>RC0402FR-071KL</t>
  </si>
  <si>
    <t>RC0402FR-0710KL</t>
  </si>
  <si>
    <t>RC0402FR-070RL</t>
  </si>
  <si>
    <t>RC0402FR-074K7L</t>
  </si>
  <si>
    <t>RC0402FR-072K4L</t>
  </si>
  <si>
    <t>RC0402FR-0756KL</t>
  </si>
  <si>
    <t>RC0603FR-07120RL</t>
  </si>
  <si>
    <t>LMR51420YDDCR</t>
  </si>
  <si>
    <t>SPX3819M5-L-3-3/TR</t>
  </si>
  <si>
    <t>LM2679SX-ADJ/NOPB</t>
  </si>
  <si>
    <t>STM32F413VGT6</t>
  </si>
  <si>
    <t>TXB0108PWR</t>
  </si>
  <si>
    <t>SN74HC04NSR</t>
  </si>
  <si>
    <t>SP3485EIM/TR</t>
  </si>
  <si>
    <t>X322516MLB4SI</t>
  </si>
  <si>
    <t>NX3215SA-32.768K-STD-MUA-14</t>
  </si>
  <si>
    <t>Manufacturer</t>
  </si>
  <si>
    <t>Yageo</t>
  </si>
  <si>
    <t>Nichicon</t>
  </si>
  <si>
    <t>Lelon</t>
  </si>
  <si>
    <t>CEC(Shenzhen Zhenhua XinYun Elec)</t>
  </si>
  <si>
    <t>MDD</t>
  </si>
  <si>
    <t>Slkor(SLKORMICRO Elec.)</t>
  </si>
  <si>
    <t>MCC</t>
  </si>
  <si>
    <t>Diodes</t>
  </si>
  <si>
    <t>Littelfuse</t>
  </si>
  <si>
    <t>PTTC(Polytronics Tech)</t>
  </si>
  <si>
    <t>Bourns</t>
  </si>
  <si>
    <t>JST</t>
  </si>
  <si>
    <t>Wurth Electronics</t>
  </si>
  <si>
    <t>Shenzhen Kinghelm Elec</t>
  </si>
  <si>
    <t>Ckmtw(Shenzhen Cankemeng)</t>
  </si>
  <si>
    <t>JILN</t>
  </si>
  <si>
    <t>Ningbo Kangnex Elec</t>
  </si>
  <si>
    <t>DEALON</t>
  </si>
  <si>
    <t>YJYCOIN</t>
  </si>
  <si>
    <t>Sunlord</t>
  </si>
  <si>
    <t>Foshan NationStar Optoelectronics</t>
  </si>
  <si>
    <t>SparkFun</t>
  </si>
  <si>
    <t>XKB Connectivity</t>
  </si>
  <si>
    <t>Texas Instruments</t>
  </si>
  <si>
    <t>MaxLinear</t>
  </si>
  <si>
    <t>TI National Semiconductor</t>
  </si>
  <si>
    <t>STMicroelectronics</t>
  </si>
  <si>
    <t>HGSEMI</t>
  </si>
  <si>
    <t>Yangxing Tech</t>
  </si>
  <si>
    <t>NDK</t>
  </si>
  <si>
    <t>LCSC Part Number</t>
  </si>
  <si>
    <t>C326581</t>
  </si>
  <si>
    <t>C326057</t>
  </si>
  <si>
    <t>C309478</t>
  </si>
  <si>
    <t>C389113</t>
  </si>
  <si>
    <t>C116241</t>
  </si>
  <si>
    <t>C60133</t>
  </si>
  <si>
    <t>C249807</t>
  </si>
  <si>
    <t>C128253</t>
  </si>
  <si>
    <t>C105621</t>
  </si>
  <si>
    <t>C106245</t>
  </si>
  <si>
    <t>C59500</t>
  </si>
  <si>
    <t>C556189</t>
  </si>
  <si>
    <t>C725397</t>
  </si>
  <si>
    <t>C83528</t>
  </si>
  <si>
    <t>C83330</t>
  </si>
  <si>
    <t>C495350</t>
  </si>
  <si>
    <t>C12430</t>
  </si>
  <si>
    <t>C144395</t>
  </si>
  <si>
    <t>C2905417</t>
  </si>
  <si>
    <t>C124410</t>
  </si>
  <si>
    <t>C394551</t>
  </si>
  <si>
    <t>C8465</t>
  </si>
  <si>
    <t>C2905012</t>
  </si>
  <si>
    <t>C338845</t>
  </si>
  <si>
    <t>C970542</t>
  </si>
  <si>
    <t>C37429</t>
  </si>
  <si>
    <t>C87326</t>
  </si>
  <si>
    <t>C124616</t>
  </si>
  <si>
    <t>C865483</t>
  </si>
  <si>
    <t>C852648</t>
  </si>
  <si>
    <t>C852551</t>
  </si>
  <si>
    <t>C723581</t>
  </si>
  <si>
    <t>C852901</t>
  </si>
  <si>
    <t>C60490</t>
  </si>
  <si>
    <t>C106231</t>
  </si>
  <si>
    <t>C105871</t>
  </si>
  <si>
    <t>C112296</t>
  </si>
  <si>
    <t>C114756</t>
  </si>
  <si>
    <t>C114640</t>
  </si>
  <si>
    <t>C381037</t>
  </si>
  <si>
    <t>C5383002</t>
  </si>
  <si>
    <t>C9055</t>
  </si>
  <si>
    <t>C2877272</t>
  </si>
  <si>
    <t>C1337293</t>
  </si>
  <si>
    <t>C53406</t>
  </si>
  <si>
    <t>C6812</t>
  </si>
  <si>
    <t>C519086</t>
  </si>
  <si>
    <t>C13738</t>
  </si>
  <si>
    <t>C156244</t>
  </si>
  <si>
    <t>2.2uF</t>
  </si>
  <si>
    <t>100nF</t>
  </si>
  <si>
    <t>10uF</t>
  </si>
  <si>
    <t>10nF</t>
  </si>
  <si>
    <t>100uF</t>
  </si>
  <si>
    <t>27uF</t>
  </si>
  <si>
    <t>20pF</t>
  </si>
  <si>
    <t>10pF</t>
  </si>
  <si>
    <t>22nF</t>
  </si>
  <si>
    <t>22UH</t>
  </si>
  <si>
    <t>33uH</t>
  </si>
  <si>
    <t>10uH</t>
  </si>
  <si>
    <t>10K</t>
  </si>
  <si>
    <t>422k</t>
  </si>
  <si>
    <t>22.1K</t>
  </si>
  <si>
    <t>162k</t>
  </si>
  <si>
    <t>18.7K</t>
  </si>
  <si>
    <t>6.98K</t>
  </si>
  <si>
    <t>1K</t>
  </si>
  <si>
    <t>0R</t>
  </si>
  <si>
    <t>4.7K</t>
  </si>
  <si>
    <t>2.4k</t>
  </si>
  <si>
    <t>56k</t>
  </si>
  <si>
    <t>120R</t>
  </si>
  <si>
    <t>Quantity</t>
  </si>
  <si>
    <t>Connector</t>
  </si>
  <si>
    <t>Alternate Part Number</t>
  </si>
  <si>
    <t>Quantity (5 Boards)</t>
  </si>
  <si>
    <t>MOQ (5 Boards)</t>
  </si>
  <si>
    <t>Links</t>
  </si>
  <si>
    <t>Unit Cost (5 Boards)</t>
  </si>
  <si>
    <t>Total Cost (5 Boards)</t>
  </si>
  <si>
    <t>Reviewer Remarks</t>
  </si>
  <si>
    <t>Remarks</t>
  </si>
  <si>
    <t>Custom</t>
  </si>
  <si>
    <t>-</t>
  </si>
  <si>
    <t>Value</t>
  </si>
  <si>
    <t>LCSC</t>
  </si>
  <si>
    <t>UMK107B104KAHT</t>
  </si>
  <si>
    <t>C386152</t>
  </si>
  <si>
    <t>C1005X5R223KETS</t>
  </si>
  <si>
    <t>C147651</t>
  </si>
  <si>
    <t>C37208</t>
  </si>
  <si>
    <t>AC0402FR-071KL</t>
  </si>
  <si>
    <t>C144789</t>
  </si>
  <si>
    <t>NON-STOCK ON  LCSC</t>
  </si>
  <si>
    <t>Flowmeter</t>
  </si>
  <si>
    <t>UF2000F</t>
  </si>
  <si>
    <t>HLOYKELL</t>
  </si>
  <si>
    <t>Electric Valve</t>
  </si>
  <si>
    <t>DN50</t>
  </si>
  <si>
    <t>MIT-UNID-CNS</t>
  </si>
  <si>
    <t>RS485</t>
  </si>
  <si>
    <t>HZCCXZ-RFID-CARD</t>
  </si>
  <si>
    <t>RFID Reader</t>
  </si>
  <si>
    <t>Keypad</t>
  </si>
  <si>
    <t>key-tek</t>
  </si>
  <si>
    <t>K-TEK-A120KP-BL-DWP</t>
  </si>
  <si>
    <t>Thermal Printer</t>
  </si>
  <si>
    <t>MASUNG</t>
  </si>
  <si>
    <t>Metal Thermal PPanel Mount Printer</t>
  </si>
  <si>
    <t>Push Buttons</t>
  </si>
  <si>
    <t>LED Display smaller size</t>
  </si>
  <si>
    <t>TDS Sensor</t>
  </si>
  <si>
    <t>ROC</t>
  </si>
  <si>
    <t>CCT-3320 CCT-3320C CCT-3320V</t>
  </si>
  <si>
    <t>Sweideer</t>
  </si>
  <si>
    <t xml:space="preserve">Push Button Switch with Light </t>
  </si>
  <si>
    <t>NHD-12864WG-CTFH-V#N</t>
  </si>
  <si>
    <t>Newhaven</t>
  </si>
  <si>
    <t>Main-PCB-v1.0</t>
  </si>
  <si>
    <t>Alibaba</t>
  </si>
  <si>
    <t>Aliexpress</t>
  </si>
  <si>
    <t>New Haven</t>
  </si>
  <si>
    <t>Holykell</t>
  </si>
  <si>
    <t>Bill of Materials for Project [Main-PCB-v1.0.]</t>
  </si>
  <si>
    <t>Peripheral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</si>
</sst>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8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7" fillId="3" borderId="12" xfId="0" applyFont="1" applyFill="1" applyBorder="1" applyAlignment="1">
      <alignment vertical="center"/>
    </xf>
    <xf numFmtId="0" fontId="9" fillId="3" borderId="5" xfId="0" applyFont="1" applyFill="1" applyBorder="1"/>
    <xf numFmtId="0" fontId="9" fillId="3" borderId="6" xfId="0" applyFont="1" applyFill="1" applyBorder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1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25" fillId="2" borderId="16" xfId="1" applyFill="1" applyBorder="1" applyAlignment="1">
      <alignment horizontal="center" vertical="center" wrapText="1"/>
    </xf>
    <xf numFmtId="0" fontId="25" fillId="2" borderId="17" xfId="1" applyFill="1" applyBorder="1" applyAlignment="1">
      <alignment horizontal="center" vertical="center" wrapText="1"/>
    </xf>
    <xf numFmtId="165" fontId="26" fillId="3" borderId="12" xfId="0" applyNumberFormat="1" applyFont="1" applyFill="1" applyBorder="1" applyAlignment="1" applyProtection="1">
      <alignment horizontal="center" vertical="center"/>
      <protection locked="0"/>
    </xf>
    <xf numFmtId="0" fontId="4" fillId="3" borderId="0" xfId="0" applyFont="1" applyFill="1" applyBorder="1" applyAlignment="1">
      <alignment horizontal="center"/>
    </xf>
    <xf numFmtId="0" fontId="11" fillId="3" borderId="0" xfId="0" applyFont="1" applyFill="1" applyBorder="1"/>
    <xf numFmtId="0" fontId="11" fillId="3" borderId="0" xfId="0" quotePrefix="1" applyFont="1" applyFill="1" applyBorder="1" applyAlignment="1">
      <alignment horizontal="left"/>
    </xf>
    <xf numFmtId="0" fontId="8" fillId="3" borderId="0" xfId="0" applyFont="1" applyFill="1" applyBorder="1"/>
    <xf numFmtId="0" fontId="6" fillId="3" borderId="0" xfId="0" applyFont="1" applyFill="1" applyBorder="1" applyAlignment="1">
      <alignment horizontal="center"/>
    </xf>
    <xf numFmtId="0" fontId="16" fillId="3" borderId="0" xfId="0" applyFont="1" applyFill="1" applyBorder="1"/>
    <xf numFmtId="0" fontId="10" fillId="3" borderId="0" xfId="0" applyFont="1" applyFill="1" applyBorder="1"/>
    <xf numFmtId="0" fontId="5" fillId="3" borderId="1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13" fillId="3" borderId="3" xfId="0" applyFont="1" applyFill="1" applyBorder="1"/>
    <xf numFmtId="164" fontId="13" fillId="3" borderId="3" xfId="0" applyNumberFormat="1" applyFont="1" applyFill="1" applyBorder="1" applyAlignment="1">
      <alignment horizontal="left"/>
    </xf>
    <xf numFmtId="0" fontId="16" fillId="3" borderId="3" xfId="0" applyFont="1" applyFill="1" applyBorder="1"/>
    <xf numFmtId="0" fontId="10" fillId="3" borderId="3" xfId="0" applyFont="1" applyFill="1" applyBorder="1"/>
    <xf numFmtId="0" fontId="27" fillId="2" borderId="16" xfId="0" applyFont="1" applyFill="1" applyBorder="1" applyAlignment="1">
      <alignment horizontal="center" vertical="center" wrapText="1"/>
    </xf>
    <xf numFmtId="0" fontId="27" fillId="2" borderId="1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20" fillId="3" borderId="13" xfId="0" applyFont="1" applyFill="1" applyBorder="1" applyAlignment="1" applyProtection="1">
      <alignment horizontal="center" vertical="top"/>
      <protection locked="0"/>
    </xf>
    <xf numFmtId="0" fontId="3" fillId="3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166" fontId="15" fillId="3" borderId="10" xfId="0" quotePrefix="1" applyNumberFormat="1" applyFont="1" applyFill="1" applyBorder="1" applyAlignment="1">
      <alignment horizontal="center" vertical="center" wrapText="1"/>
    </xf>
    <xf numFmtId="166" fontId="15" fillId="3" borderId="8" xfId="0" quotePrefix="1" applyNumberFormat="1" applyFont="1" applyFill="1" applyBorder="1" applyAlignment="1">
      <alignment horizontal="center" vertical="center" wrapText="1"/>
    </xf>
    <xf numFmtId="166" fontId="15" fillId="3" borderId="14" xfId="0" quotePrefix="1" applyNumberFormat="1" applyFont="1" applyFill="1" applyBorder="1" applyAlignment="1">
      <alignment horizontal="center" vertical="center" wrapText="1"/>
    </xf>
    <xf numFmtId="166" fontId="15" fillId="3" borderId="18" xfId="0" quotePrefix="1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38100</xdr:colOff>
      <xdr:row>1</xdr:row>
      <xdr:rowOff>19050</xdr:rowOff>
    </xdr:from>
    <xdr:to>
      <xdr:col>18</xdr:col>
      <xdr:colOff>1162050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564350" y="219075"/>
          <a:ext cx="2228850" cy="151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Schottky-Barrier-Diodes-SBD_MDD-Microdiode-Electronics-SK104C_C59500.html" TargetMode="External"/><Relationship Id="rId18" Type="http://schemas.openxmlformats.org/officeDocument/2006/relationships/hyperlink" Target="https://www.lcsc.com/product-detail/Resettable-Fuses_PTTC-Polytronics-Tech-SHV2920P500-30-AA_C495350.html" TargetMode="External"/><Relationship Id="rId26" Type="http://schemas.openxmlformats.org/officeDocument/2006/relationships/hyperlink" Target="https://www.lcsc.com/product-detail/Wire-To-Board-Wire-To-Wire-Connector_DEALON-1-25-5PWB_C2905012.html" TargetMode="External"/><Relationship Id="rId39" Type="http://schemas.openxmlformats.org/officeDocument/2006/relationships/hyperlink" Target="https://www.lcsc.com/product-detail/Chip-Resistor-Surface-Mount_YAGEO-RC0402FR-074K7L_C105871.html" TargetMode="External"/><Relationship Id="rId21" Type="http://schemas.openxmlformats.org/officeDocument/2006/relationships/hyperlink" Target="https://www.lcsc.com/product-detail/Pin-Headers_BOOMELE-Boom-Precision-Elec-C37208_C37208.html" TargetMode="External"/><Relationship Id="rId34" Type="http://schemas.openxmlformats.org/officeDocument/2006/relationships/hyperlink" Target="https://www.lcsc.com/product-detail/Chip-Resistor-Surface-Mount_YAGEO-RT0402BRD07162KL_C852551.html" TargetMode="External"/><Relationship Id="rId42" Type="http://schemas.openxmlformats.org/officeDocument/2006/relationships/hyperlink" Target="https://www.lcsc.com/product-detail/Chip-Resistor-Surface-Mount_YAGEO-RC0402FR-0756KL_C114756.html" TargetMode="External"/><Relationship Id="rId47" Type="http://schemas.openxmlformats.org/officeDocument/2006/relationships/hyperlink" Target="https://www.lcsc.com/product-detail/DC-DC-Converters_Texas-Instruments-LM2679SX-ADJ-NOPB_C2877272.html" TargetMode="External"/><Relationship Id="rId50" Type="http://schemas.openxmlformats.org/officeDocument/2006/relationships/hyperlink" Target="https://www.lcsc.com/product-detail/Inverters_Texas-Instruments-SN74HC04NSR_C6812.html" TargetMode="External"/><Relationship Id="rId55" Type="http://schemas.openxmlformats.org/officeDocument/2006/relationships/hyperlink" Target="https://vi.aliexpress.com/item/32810532487.html" TargetMode="External"/><Relationship Id="rId63" Type="http://schemas.openxmlformats.org/officeDocument/2006/relationships/drawing" Target="../drawings/drawing1.xml"/><Relationship Id="rId7" Type="http://schemas.openxmlformats.org/officeDocument/2006/relationships/hyperlink" Target="https://www.lcsc.com/product-detail/Multilayer-Ceramic-Capacitors-MLCC-SMD-SMT_YAGEO-CC0402KRX7R9BB103_C60133.html" TargetMode="External"/><Relationship Id="rId2" Type="http://schemas.openxmlformats.org/officeDocument/2006/relationships/hyperlink" Target="https://www.lcsc.com/product-detail/Multilayer-Ceramic-Capacitors-MLCC-SMD-SMT_Taiyo-Yuden-UMK107B104KAHT_C386152.html" TargetMode="External"/><Relationship Id="rId16" Type="http://schemas.openxmlformats.org/officeDocument/2006/relationships/hyperlink" Target="https://www.lcsc.com/product-detail/Switching-Diode_Diodes-Incorporated-1N4148W-7-F_C83528.html" TargetMode="External"/><Relationship Id="rId29" Type="http://schemas.openxmlformats.org/officeDocument/2006/relationships/hyperlink" Target="https://www.lcsc.com/product-detail/Power-Inductors_Sunlord-SWPA8040S100MT_C37429.html" TargetMode="External"/><Relationship Id="rId11" Type="http://schemas.openxmlformats.org/officeDocument/2006/relationships/hyperlink" Target="https://www.lcsc.com/product-detail/Multilayer-Ceramic-Capacitors-MLCC-SMD-SMT_YAGEO-CC0603JRNPO9BN100_C106245.html" TargetMode="External"/><Relationship Id="rId24" Type="http://schemas.openxmlformats.org/officeDocument/2006/relationships/hyperlink" Target="https://www.lcsc.com/product-detail/Barrier-Terminal-Blocks_JILN-JL762B-76202GA1_C394551.html" TargetMode="External"/><Relationship Id="rId32" Type="http://schemas.openxmlformats.org/officeDocument/2006/relationships/hyperlink" Target="https://www.lcsc.com/product-detail/Chip-Resistor-Surface-Mount_YAGEO-RT0805BRD07422KL_C865483.html" TargetMode="External"/><Relationship Id="rId37" Type="http://schemas.openxmlformats.org/officeDocument/2006/relationships/hyperlink" Target="https://www.lcsc.com/product-detail/Chip-Resistor-Surface-Mount_YAGEO-AC0402FR-071KL_C144789.html" TargetMode="External"/><Relationship Id="rId40" Type="http://schemas.openxmlformats.org/officeDocument/2006/relationships/hyperlink" Target="https://www.lcsc.com/product-detail/Chip-Resistor-Surface-Mount_YAGEO-RC0402FR-070RL_C106231.html" TargetMode="External"/><Relationship Id="rId45" Type="http://schemas.openxmlformats.org/officeDocument/2006/relationships/hyperlink" Target="https://www.lcsc.com/product-detail/DC-DC-Converters_Texas-Instruments-LMR51420YDDCR_C5383002.html" TargetMode="External"/><Relationship Id="rId53" Type="http://schemas.openxmlformats.org/officeDocument/2006/relationships/hyperlink" Target="https://www.lcsc.com/product-detail/Crystals_NDK-NX3215SA-32-768K-STD-MUA-14_C156244.html" TargetMode="External"/><Relationship Id="rId58" Type="http://schemas.openxmlformats.org/officeDocument/2006/relationships/hyperlink" Target="https://newhavendisplay.com/128x64-graphic-lcd-module-fstn-display-with-white-side-backlight-and-negative-voltage/" TargetMode="External"/><Relationship Id="rId5" Type="http://schemas.openxmlformats.org/officeDocument/2006/relationships/hyperlink" Target="https://www.lcsc.com/product-detail/Multilayer-Ceramic-Capacitors-MLCC-SMD-SMT_YAGEO-CC0603JRNPO9BN103_C389113.html" TargetMode="External"/><Relationship Id="rId61" Type="http://schemas.openxmlformats.org/officeDocument/2006/relationships/hyperlink" Target="https://www.holykell.com/products/UF2000F_Fix_Mount_Ultrasonic_Water_Flowmeter.html" TargetMode="External"/><Relationship Id="rId19" Type="http://schemas.openxmlformats.org/officeDocument/2006/relationships/hyperlink" Target="https://www.lcsc.com/product-detail/Resettable-Fuses_BOURNS-MF-MSMF010-2_C12430.html" TargetMode="External"/><Relationship Id="rId14" Type="http://schemas.openxmlformats.org/officeDocument/2006/relationships/hyperlink" Target="https://www.lcsc.com/product-detail/TVS_Slkor-SLKORMICRO-Elec-SMBJ36CA_C556189.html" TargetMode="External"/><Relationship Id="rId22" Type="http://schemas.openxmlformats.org/officeDocument/2006/relationships/hyperlink" Target="https://www.lcsc.com/product-detail/Female-Headers_Shenzhen-Kinghelm-Elec-KH-2-54FH-1X8P-H8-5_C2905417.html" TargetMode="External"/><Relationship Id="rId27" Type="http://schemas.openxmlformats.org/officeDocument/2006/relationships/hyperlink" Target="https://www.lcsc.com/product-detail/Power-Inductors_YJYCOIN-YPRH1204-220M_C338845.html" TargetMode="External"/><Relationship Id="rId30" Type="http://schemas.openxmlformats.org/officeDocument/2006/relationships/hyperlink" Target="https://www.lcsc.com/product-detail/Light-Emitting-Diodes-LED_Foshan-NationStar-Optoelectronics-NCD0603G2_C87326.html" TargetMode="External"/><Relationship Id="rId35" Type="http://schemas.openxmlformats.org/officeDocument/2006/relationships/hyperlink" Target="https://www.lcsc.com/product-detail/Chip-Resistor-Surface-Mount_YAGEO-RT0402BRD0718K7L_C723581.html" TargetMode="External"/><Relationship Id="rId43" Type="http://schemas.openxmlformats.org/officeDocument/2006/relationships/hyperlink" Target="https://www.lcsc.com/product-detail/Chip-Resistor-Surface-Mount_YAGEO-RC0603FR-07120RL_C114640.html" TargetMode="External"/><Relationship Id="rId48" Type="http://schemas.openxmlformats.org/officeDocument/2006/relationships/hyperlink" Target="https://www.lcsc.com/product-detail/Microcontroller-Units-MCUs-MPUs-SOCs_STMicroelectronics-STM32F413VGT6_C1337293.html" TargetMode="External"/><Relationship Id="rId56" Type="http://schemas.openxmlformats.org/officeDocument/2006/relationships/hyperlink" Target="https://www.alibaba.com/product-detail/80mm-Embedded-Metal-Panel-Thermal-Printer_62535411063.html?spm=a2700.galleryofferlist.normal_offer.d_title.1edf7544wt3h9Z" TargetMode="External"/><Relationship Id="rId8" Type="http://schemas.openxmlformats.org/officeDocument/2006/relationships/hyperlink" Target="https://www.lcsc.com/product-detail/Aluminum-Electrolytic-Capacitors-SMD_Lelon-VUA270M1VTR-0606_C249807.html" TargetMode="External"/><Relationship Id="rId51" Type="http://schemas.openxmlformats.org/officeDocument/2006/relationships/hyperlink" Target="https://www.lcsc.com/product-detail/RS-485-RS-422-ICs_HGSEMI-SP3485EIM-TR_C519086.html" TargetMode="External"/><Relationship Id="rId3" Type="http://schemas.openxmlformats.org/officeDocument/2006/relationships/hyperlink" Target="https://www.lcsc.com/product-detail/Multilayer-Ceramic-Capacitors-MLCC-SMD-SMT_YAGEO-CC0603KRX5R6BB106_C326057.html" TargetMode="External"/><Relationship Id="rId12" Type="http://schemas.openxmlformats.org/officeDocument/2006/relationships/hyperlink" Target="https://www.lcsc.com/product-detail/Multilayer-Ceramic-Capacitors-MLCC-SMD-SMT_Darfon-Elec-C1005X5R223KETS_C147651.html" TargetMode="External"/><Relationship Id="rId17" Type="http://schemas.openxmlformats.org/officeDocument/2006/relationships/hyperlink" Target="https://www.lcsc.com/product-detail/TVS_Littelfuse-SMAJ6-5CA_C83330.html" TargetMode="External"/><Relationship Id="rId25" Type="http://schemas.openxmlformats.org/officeDocument/2006/relationships/hyperlink" Target="https://www.lcsc.com/product-detail/Screw-terminal_Ningbo-Kangnex-Elec-WJ500V-5-08-2P_C8465.html" TargetMode="External"/><Relationship Id="rId33" Type="http://schemas.openxmlformats.org/officeDocument/2006/relationships/hyperlink" Target="https://www.lcsc.com/product-detail/Chip-Resistor-Surface-Mount_YAGEO-RT0402BRD0722K1L_C852648.html" TargetMode="External"/><Relationship Id="rId38" Type="http://schemas.openxmlformats.org/officeDocument/2006/relationships/hyperlink" Target="https://www.lcsc.com/product-detail/Chip-Resistor-Surface-Mount_YAGEO-RC0402FR-0710KL_C60490.html" TargetMode="External"/><Relationship Id="rId46" Type="http://schemas.openxmlformats.org/officeDocument/2006/relationships/hyperlink" Target="https://www.lcsc.com/product-detail/Linear-Voltage-Regulators-LDO_MaxLinear-SPX3819M5-L-3-3-TR_C9055.html" TargetMode="External"/><Relationship Id="rId59" Type="http://schemas.openxmlformats.org/officeDocument/2006/relationships/hyperlink" Target="https://www.alibaba.com/product-detail/Hot-Sale-CCT-3300-Series-Industrial_1600822652424.html?spm=a2700.galleryofferlist.normal_offer.d_title.7222b813I0pdpk" TargetMode="External"/><Relationship Id="rId20" Type="http://schemas.openxmlformats.org/officeDocument/2006/relationships/hyperlink" Target="https://www.lcsc.com/product-detail/Wire-To-Board-Wire-To-Wire-Connector_JST-Sales-America-B4B-XH-A-LF-SN_C144395.html" TargetMode="External"/><Relationship Id="rId41" Type="http://schemas.openxmlformats.org/officeDocument/2006/relationships/hyperlink" Target="https://www.lcsc.com/product-detail/Chip-Resistor-Surface-Mount_YAGEO-RC0402FR-072K4L_C112296.html" TargetMode="External"/><Relationship Id="rId54" Type="http://schemas.openxmlformats.org/officeDocument/2006/relationships/hyperlink" Target="https://vi.aliexpress.com/item/1005004418817541.html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Multilayer-Ceramic-Capacitors-MLCC-SMD-SMT_YAGEO-CC0805KKX5R9BB225_C326581.html" TargetMode="External"/><Relationship Id="rId6" Type="http://schemas.openxmlformats.org/officeDocument/2006/relationships/hyperlink" Target="https://www.lcsc.com/product-detail/Aluminum-Electrolytic-Capacitors-SMD_Nichicon-UUD1H101MNL1GS_C116241.html" TargetMode="External"/><Relationship Id="rId15" Type="http://schemas.openxmlformats.org/officeDocument/2006/relationships/hyperlink" Target="https://www.lcsc.com/product-detail/Schottky-Barrier-Diodes-SBD_MCC-Micro-Commercial-Components-SK220-LTP_C725397.html" TargetMode="External"/><Relationship Id="rId23" Type="http://schemas.openxmlformats.org/officeDocument/2006/relationships/hyperlink" Target="https://www.lcsc.com/product-detail/Female-Headers_Ckmtw-Shenzhen-Cankemeng-B-2200S20P-A120_C124410.html" TargetMode="External"/><Relationship Id="rId28" Type="http://schemas.openxmlformats.org/officeDocument/2006/relationships/hyperlink" Target="https://www.lcsc.com/product-detail/Power-Inductors_YJYCOIN-YPRH1508-330M_C970542.html" TargetMode="External"/><Relationship Id="rId36" Type="http://schemas.openxmlformats.org/officeDocument/2006/relationships/hyperlink" Target="https://www.lcsc.com/product-detail/Chip-Resistor-Surface-Mount_YAGEO-RT0402BRD076K98L_C852901.html" TargetMode="External"/><Relationship Id="rId49" Type="http://schemas.openxmlformats.org/officeDocument/2006/relationships/hyperlink" Target="https://www.lcsc.com/product-detail/Translators-Level-Shifters_Texas-Instruments-TXB0108PWR_C53406.html" TargetMode="External"/><Relationship Id="rId57" Type="http://schemas.openxmlformats.org/officeDocument/2006/relationships/hyperlink" Target="https://vi.aliexpress.com/item/1005005444207125.html" TargetMode="External"/><Relationship Id="rId10" Type="http://schemas.openxmlformats.org/officeDocument/2006/relationships/hyperlink" Target="https://www.lcsc.com/product-detail/Multilayer-Ceramic-Capacitors-MLCC-SMD-SMT_YAGEO-CC0603JRNPO9BN200_C105621.html" TargetMode="External"/><Relationship Id="rId31" Type="http://schemas.openxmlformats.org/officeDocument/2006/relationships/hyperlink" Target="https://www.lcsc.com/product-detail/Variable-Resistors-Potentiometers_BOURNS-3313J-1-103E_C124616.html" TargetMode="External"/><Relationship Id="rId44" Type="http://schemas.openxmlformats.org/officeDocument/2006/relationships/hyperlink" Target="https://www.lcsc.com/product-detail/Tactile-Switches_XKB-Connectivity-TS-1109S-C-B_C381037.html" TargetMode="External"/><Relationship Id="rId52" Type="http://schemas.openxmlformats.org/officeDocument/2006/relationships/hyperlink" Target="https://www.lcsc.com/product-detail/Crystals_Yangxing-Tech-X322516MLB4SI_C13738.html" TargetMode="External"/><Relationship Id="rId60" Type="http://schemas.openxmlformats.org/officeDocument/2006/relationships/hyperlink" Target="https://www.alibaba.com/product-detail/DN50-2-Stainless-steel-Flanged-Ball_1600612627684.html?spm=a2700.galleryofferlist.normal_offer.d_title.122b60b0edY293" TargetMode="External"/><Relationship Id="rId4" Type="http://schemas.openxmlformats.org/officeDocument/2006/relationships/hyperlink" Target="https://www.lcsc.com/product-detail/Multilayer-Ceramic-Capacitors-MLCC-SMD-SMT_YAGEO-CC0603KRX5R8BB225_C309478.html" TargetMode="External"/><Relationship Id="rId9" Type="http://schemas.openxmlformats.org/officeDocument/2006/relationships/hyperlink" Target="https://www.lcsc.com/product-detail/Tantalum-Capacitors_CEC-Shenzhen-Zhenhua-XinYun-Elec-CA45-A-10V-10uF-K_C12825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5"/>
  <sheetViews>
    <sheetView tabSelected="1" topLeftCell="B55" zoomScaleNormal="100" workbookViewId="0">
      <selection activeCell="I78" sqref="I78"/>
    </sheetView>
  </sheetViews>
  <sheetFormatPr defaultRowHeight="15" x14ac:dyDescent="0.25"/>
  <cols>
    <col min="2" max="2" width="3.140625" style="21" customWidth="1"/>
    <col min="3" max="3" width="18" style="21" bestFit="1" customWidth="1"/>
    <col min="4" max="4" width="27.42578125" customWidth="1"/>
    <col min="5" max="5" width="30.85546875" customWidth="1"/>
    <col min="6" max="6" width="16.85546875" customWidth="1"/>
    <col min="7" max="7" width="25.7109375" customWidth="1"/>
    <col min="8" max="8" width="29.42578125" bestFit="1" customWidth="1"/>
    <col min="9" max="9" width="23.5703125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0.42578125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17.7109375" bestFit="1" customWidth="1"/>
    <col min="20" max="20" width="26.85546875" bestFit="1" customWidth="1"/>
  </cols>
  <sheetData>
    <row r="1" spans="1:20" ht="15.75" thickBot="1" x14ac:dyDescent="0.3">
      <c r="A1" s="1"/>
      <c r="B1" s="15"/>
      <c r="C1" s="15"/>
      <c r="D1" s="2"/>
      <c r="E1" s="2"/>
      <c r="F1" s="2"/>
      <c r="G1" s="2"/>
      <c r="H1" s="2"/>
      <c r="I1" s="2"/>
      <c r="J1" s="2"/>
      <c r="K1" s="2"/>
      <c r="L1" s="73"/>
      <c r="M1" s="73"/>
      <c r="N1" s="73"/>
      <c r="O1" s="73"/>
      <c r="P1" s="73"/>
      <c r="Q1" s="73"/>
      <c r="R1" s="73"/>
      <c r="S1" s="73"/>
      <c r="T1" s="74"/>
    </row>
    <row r="2" spans="1:20" ht="32.25" thickBot="1" x14ac:dyDescent="0.3">
      <c r="A2" s="1"/>
      <c r="B2" s="16"/>
      <c r="C2" s="23"/>
      <c r="D2" s="8" t="s">
        <v>0</v>
      </c>
      <c r="E2" s="8"/>
      <c r="F2" s="42" t="s">
        <v>374</v>
      </c>
      <c r="G2" s="9"/>
      <c r="H2" s="3"/>
      <c r="I2" s="9"/>
      <c r="J2" s="3"/>
      <c r="K2" s="3"/>
      <c r="L2" s="3"/>
      <c r="M2" s="3"/>
      <c r="N2" s="3"/>
      <c r="O2" s="3"/>
      <c r="P2" s="3"/>
      <c r="Q2" s="3"/>
      <c r="R2" s="78"/>
      <c r="S2" s="79"/>
    </row>
    <row r="3" spans="1:20" ht="15" customHeight="1" x14ac:dyDescent="0.25">
      <c r="A3" s="1"/>
      <c r="B3" s="17"/>
      <c r="C3" s="56"/>
      <c r="D3" s="57" t="s">
        <v>1</v>
      </c>
      <c r="E3" s="57"/>
      <c r="F3" s="58" t="s">
        <v>369</v>
      </c>
      <c r="G3" s="57"/>
      <c r="H3" s="59"/>
      <c r="I3" s="57"/>
      <c r="J3" s="59"/>
      <c r="K3" s="59"/>
      <c r="L3" s="59"/>
      <c r="M3" s="59"/>
      <c r="N3" s="59"/>
      <c r="O3" s="59"/>
      <c r="P3" s="59"/>
      <c r="Q3" s="59"/>
      <c r="R3" s="80"/>
      <c r="S3" s="81"/>
    </row>
    <row r="4" spans="1:20" ht="15" customHeight="1" x14ac:dyDescent="0.25">
      <c r="A4" s="1"/>
      <c r="B4" s="17"/>
      <c r="C4" s="56"/>
      <c r="D4" s="57" t="s">
        <v>2</v>
      </c>
      <c r="E4" s="57"/>
      <c r="F4" s="43" t="s">
        <v>369</v>
      </c>
      <c r="G4" s="10"/>
      <c r="H4" s="5"/>
      <c r="I4" s="10"/>
      <c r="J4" s="5"/>
      <c r="K4" s="5"/>
      <c r="L4" s="4"/>
      <c r="M4" s="4"/>
      <c r="N4" s="4"/>
      <c r="O4" s="4"/>
      <c r="P4" s="4"/>
      <c r="Q4" s="4"/>
      <c r="R4" s="80"/>
      <c r="S4" s="81"/>
    </row>
    <row r="5" spans="1:20" ht="15" customHeight="1" x14ac:dyDescent="0.25">
      <c r="A5" s="1"/>
      <c r="B5" s="17"/>
      <c r="C5" s="56"/>
      <c r="D5" s="57" t="s">
        <v>3</v>
      </c>
      <c r="E5" s="57"/>
      <c r="F5" s="44" t="s">
        <v>7</v>
      </c>
      <c r="G5" s="11"/>
      <c r="H5" s="4"/>
      <c r="I5" s="11"/>
      <c r="J5" s="4"/>
      <c r="K5" s="4"/>
      <c r="L5" s="4"/>
      <c r="M5" s="4"/>
      <c r="N5" s="4"/>
      <c r="O5" s="4"/>
      <c r="P5" s="4"/>
      <c r="Q5" s="4"/>
      <c r="R5" s="80"/>
      <c r="S5" s="81"/>
    </row>
    <row r="6" spans="1:20" ht="15" customHeight="1" x14ac:dyDescent="0.25">
      <c r="A6" s="1"/>
      <c r="B6" s="18"/>
      <c r="C6" s="24"/>
      <c r="D6" s="12"/>
      <c r="E6" s="12"/>
      <c r="F6" s="13"/>
      <c r="G6" s="11"/>
      <c r="H6" s="4"/>
      <c r="I6" s="11"/>
      <c r="J6" s="4"/>
      <c r="K6" s="4"/>
      <c r="L6" s="4"/>
      <c r="M6" s="4"/>
      <c r="N6" s="4"/>
      <c r="O6" s="4"/>
      <c r="P6" s="4"/>
      <c r="Q6" s="4"/>
      <c r="R6" s="80"/>
      <c r="S6" s="81"/>
    </row>
    <row r="7" spans="1:20" ht="15" customHeight="1" x14ac:dyDescent="0.25">
      <c r="A7" s="1"/>
      <c r="B7" s="19"/>
      <c r="C7" s="60"/>
      <c r="D7" s="61"/>
      <c r="E7" s="61"/>
      <c r="F7" s="61"/>
      <c r="G7" s="14"/>
      <c r="H7" s="61"/>
      <c r="I7" s="62"/>
      <c r="J7" s="61"/>
      <c r="K7" s="62"/>
      <c r="L7" s="62"/>
      <c r="M7" s="62"/>
      <c r="N7" s="62"/>
      <c r="O7" s="62"/>
      <c r="P7" s="62"/>
      <c r="Q7" s="62"/>
      <c r="R7" s="80"/>
      <c r="S7" s="81"/>
    </row>
    <row r="8" spans="1:20" ht="15.75" thickBot="1" x14ac:dyDescent="0.3">
      <c r="A8" s="1"/>
      <c r="B8" s="63"/>
      <c r="C8" s="64"/>
      <c r="D8" s="65"/>
      <c r="E8" s="65"/>
      <c r="F8" s="65"/>
      <c r="G8" s="66"/>
      <c r="H8" s="67"/>
      <c r="I8" s="68"/>
      <c r="J8" s="67"/>
      <c r="K8" s="68"/>
      <c r="L8" s="68"/>
      <c r="M8" s="68"/>
      <c r="N8" s="68"/>
      <c r="O8" s="68"/>
      <c r="P8" s="68"/>
      <c r="Q8" s="68"/>
      <c r="R8" s="82"/>
      <c r="S8" s="83"/>
    </row>
    <row r="9" spans="1:20" ht="15.75" thickBot="1" x14ac:dyDescent="0.3">
      <c r="A9" s="1"/>
      <c r="B9" s="22" t="s">
        <v>4</v>
      </c>
      <c r="C9" s="22" t="s">
        <v>8</v>
      </c>
      <c r="D9" s="22" t="s">
        <v>25</v>
      </c>
      <c r="E9" s="22" t="s">
        <v>82</v>
      </c>
      <c r="F9" s="22" t="s">
        <v>139</v>
      </c>
      <c r="G9" s="22" t="s">
        <v>172</v>
      </c>
      <c r="H9" s="22" t="s">
        <v>218</v>
      </c>
      <c r="I9" s="22" t="s">
        <v>325</v>
      </c>
      <c r="J9" s="22" t="s">
        <v>249</v>
      </c>
      <c r="K9" s="47" t="s">
        <v>335</v>
      </c>
      <c r="L9" s="22" t="s">
        <v>323</v>
      </c>
      <c r="M9" s="22" t="s">
        <v>326</v>
      </c>
      <c r="N9" s="22" t="s">
        <v>327</v>
      </c>
      <c r="O9" s="22" t="s">
        <v>328</v>
      </c>
      <c r="P9" s="22" t="s">
        <v>329</v>
      </c>
      <c r="Q9" s="22" t="s">
        <v>330</v>
      </c>
      <c r="R9" s="22" t="s">
        <v>332</v>
      </c>
      <c r="S9" s="22" t="s">
        <v>331</v>
      </c>
    </row>
    <row r="10" spans="1:20" x14ac:dyDescent="0.25">
      <c r="A10" s="1"/>
      <c r="B10" s="35">
        <f>ROW(B10) - ROW($B$9)</f>
        <v>1</v>
      </c>
      <c r="C10" s="40" t="s">
        <v>9</v>
      </c>
      <c r="D10" s="26" t="s">
        <v>26</v>
      </c>
      <c r="E10" s="26" t="s">
        <v>83</v>
      </c>
      <c r="F10" s="26" t="s">
        <v>140</v>
      </c>
      <c r="G10" s="26" t="s">
        <v>173</v>
      </c>
      <c r="H10" s="26" t="s">
        <v>219</v>
      </c>
      <c r="I10" s="26" t="s">
        <v>334</v>
      </c>
      <c r="J10" s="26" t="s">
        <v>250</v>
      </c>
      <c r="K10" s="48" t="s">
        <v>299</v>
      </c>
      <c r="L10" s="26">
        <v>4</v>
      </c>
      <c r="M10" s="26">
        <f>L10*5</f>
        <v>20</v>
      </c>
      <c r="N10" s="26">
        <v>40</v>
      </c>
      <c r="O10" s="53" t="s">
        <v>336</v>
      </c>
      <c r="P10" s="27">
        <v>2.93E-2</v>
      </c>
      <c r="Q10" s="27">
        <f>P10*N10</f>
        <v>1.1719999999999999</v>
      </c>
      <c r="R10" s="26"/>
      <c r="S10" s="37"/>
    </row>
    <row r="11" spans="1:20" ht="24" x14ac:dyDescent="0.25">
      <c r="A11" s="1"/>
      <c r="B11" s="36">
        <f t="shared" ref="B11:B65" si="0">ROW(B11) - ROW($B$9)</f>
        <v>2</v>
      </c>
      <c r="C11" s="41" t="s">
        <v>9</v>
      </c>
      <c r="D11" s="38" t="s">
        <v>27</v>
      </c>
      <c r="E11" s="38" t="s">
        <v>84</v>
      </c>
      <c r="F11" s="38" t="s">
        <v>141</v>
      </c>
      <c r="G11" s="50" t="s">
        <v>174</v>
      </c>
      <c r="H11" s="38" t="s">
        <v>219</v>
      </c>
      <c r="I11" s="38" t="s">
        <v>337</v>
      </c>
      <c r="J11" s="38" t="s">
        <v>338</v>
      </c>
      <c r="K11" s="49" t="s">
        <v>300</v>
      </c>
      <c r="L11" s="38">
        <v>15</v>
      </c>
      <c r="M11" s="38">
        <f t="shared" ref="M11" si="1">L11*5</f>
        <v>75</v>
      </c>
      <c r="N11" s="38">
        <v>100</v>
      </c>
      <c r="O11" s="54" t="s">
        <v>336</v>
      </c>
      <c r="P11" s="39">
        <v>1.0800000000000001E-2</v>
      </c>
      <c r="Q11" s="39">
        <f>P11*N11</f>
        <v>1.08</v>
      </c>
      <c r="R11" s="38"/>
      <c r="S11" s="38"/>
    </row>
    <row r="12" spans="1:20" x14ac:dyDescent="0.25">
      <c r="A12" s="1"/>
      <c r="B12" s="35">
        <f>ROW(B12) - ROW($B$9)</f>
        <v>3</v>
      </c>
      <c r="C12" s="40" t="s">
        <v>9</v>
      </c>
      <c r="D12" s="26" t="s">
        <v>28</v>
      </c>
      <c r="E12" s="26" t="s">
        <v>85</v>
      </c>
      <c r="F12" s="26" t="s">
        <v>141</v>
      </c>
      <c r="G12" s="26" t="s">
        <v>175</v>
      </c>
      <c r="H12" s="26" t="s">
        <v>219</v>
      </c>
      <c r="I12" s="26" t="s">
        <v>334</v>
      </c>
      <c r="J12" s="26" t="s">
        <v>251</v>
      </c>
      <c r="K12" s="48" t="s">
        <v>301</v>
      </c>
      <c r="L12" s="26">
        <v>6</v>
      </c>
      <c r="M12" s="26">
        <f>L12*5</f>
        <v>30</v>
      </c>
      <c r="N12" s="26">
        <v>40</v>
      </c>
      <c r="O12" s="53" t="s">
        <v>336</v>
      </c>
      <c r="P12" s="27">
        <v>2.5999999999999999E-2</v>
      </c>
      <c r="Q12" s="27">
        <f>P12*N12</f>
        <v>1.04</v>
      </c>
      <c r="R12" s="26"/>
      <c r="S12" s="45"/>
    </row>
    <row r="13" spans="1:20" x14ac:dyDescent="0.25">
      <c r="A13" s="1"/>
      <c r="B13" s="36">
        <f t="shared" si="0"/>
        <v>4</v>
      </c>
      <c r="C13" s="41"/>
      <c r="D13" s="38" t="s">
        <v>29</v>
      </c>
      <c r="E13" s="38" t="s">
        <v>86</v>
      </c>
      <c r="F13" s="38" t="s">
        <v>142</v>
      </c>
      <c r="G13" s="38" t="s">
        <v>176</v>
      </c>
      <c r="H13" s="38" t="s">
        <v>219</v>
      </c>
      <c r="I13" s="38" t="s">
        <v>334</v>
      </c>
      <c r="J13" s="38" t="s">
        <v>252</v>
      </c>
      <c r="K13" s="49" t="s">
        <v>299</v>
      </c>
      <c r="L13" s="38">
        <v>2</v>
      </c>
      <c r="M13" s="38">
        <f t="shared" ref="M13" si="2">L13*5</f>
        <v>10</v>
      </c>
      <c r="N13" s="38">
        <v>50</v>
      </c>
      <c r="O13" s="54" t="s">
        <v>336</v>
      </c>
      <c r="P13" s="39">
        <v>1.8499999999999999E-2</v>
      </c>
      <c r="Q13" s="39">
        <f t="shared" ref="Q13" si="3">P13*N13</f>
        <v>0.92499999999999993</v>
      </c>
      <c r="R13" s="38"/>
      <c r="S13" s="45"/>
    </row>
    <row r="14" spans="1:20" x14ac:dyDescent="0.25">
      <c r="A14" s="1"/>
      <c r="B14" s="35">
        <f>ROW(B14) - ROW($B$9)</f>
        <v>5</v>
      </c>
      <c r="C14" s="40" t="s">
        <v>9</v>
      </c>
      <c r="D14" s="26" t="s">
        <v>30</v>
      </c>
      <c r="E14" s="26" t="s">
        <v>87</v>
      </c>
      <c r="F14" s="26" t="s">
        <v>141</v>
      </c>
      <c r="G14" s="26" t="s">
        <v>177</v>
      </c>
      <c r="H14" s="26" t="s">
        <v>219</v>
      </c>
      <c r="I14" s="26" t="s">
        <v>334</v>
      </c>
      <c r="J14" s="26" t="s">
        <v>253</v>
      </c>
      <c r="K14" s="48" t="s">
        <v>302</v>
      </c>
      <c r="L14" s="26">
        <v>1</v>
      </c>
      <c r="M14" s="26">
        <f>L14*5</f>
        <v>5</v>
      </c>
      <c r="N14" s="26">
        <v>50</v>
      </c>
      <c r="O14" s="53" t="s">
        <v>336</v>
      </c>
      <c r="P14" s="27">
        <v>1.49E-2</v>
      </c>
      <c r="Q14" s="27">
        <f>P14*N14</f>
        <v>0.745</v>
      </c>
      <c r="R14" s="26"/>
      <c r="S14" s="45"/>
    </row>
    <row r="15" spans="1:20" x14ac:dyDescent="0.25">
      <c r="A15" s="1"/>
      <c r="B15" s="36">
        <f t="shared" si="0"/>
        <v>6</v>
      </c>
      <c r="C15" s="41" t="s">
        <v>9</v>
      </c>
      <c r="D15" s="38" t="s">
        <v>31</v>
      </c>
      <c r="E15" s="38" t="s">
        <v>88</v>
      </c>
      <c r="F15" s="38" t="s">
        <v>333</v>
      </c>
      <c r="G15" s="38" t="s">
        <v>178</v>
      </c>
      <c r="H15" s="38" t="s">
        <v>220</v>
      </c>
      <c r="I15" s="38" t="s">
        <v>334</v>
      </c>
      <c r="J15" s="38" t="s">
        <v>254</v>
      </c>
      <c r="K15" s="49" t="s">
        <v>303</v>
      </c>
      <c r="L15" s="38">
        <v>1</v>
      </c>
      <c r="M15" s="38">
        <f t="shared" ref="M15" si="4">L15*5</f>
        <v>5</v>
      </c>
      <c r="N15" s="38">
        <v>10</v>
      </c>
      <c r="O15" s="54" t="s">
        <v>336</v>
      </c>
      <c r="P15" s="39">
        <v>0.28039999999999998</v>
      </c>
      <c r="Q15" s="39">
        <f t="shared" ref="Q15" si="5">P15*N15</f>
        <v>2.8039999999999998</v>
      </c>
      <c r="R15" s="38"/>
      <c r="S15" s="45"/>
    </row>
    <row r="16" spans="1:20" x14ac:dyDescent="0.25">
      <c r="A16" s="1"/>
      <c r="B16" s="35">
        <f>ROW(B16) - ROW($B$9)</f>
        <v>7</v>
      </c>
      <c r="C16" s="40" t="s">
        <v>9</v>
      </c>
      <c r="D16" s="26" t="s">
        <v>32</v>
      </c>
      <c r="E16" s="26" t="s">
        <v>89</v>
      </c>
      <c r="F16" s="26" t="s">
        <v>143</v>
      </c>
      <c r="G16" s="26" t="s">
        <v>179</v>
      </c>
      <c r="H16" s="26" t="s">
        <v>219</v>
      </c>
      <c r="I16" s="26" t="s">
        <v>334</v>
      </c>
      <c r="J16" s="26" t="s">
        <v>255</v>
      </c>
      <c r="K16" s="48" t="s">
        <v>302</v>
      </c>
      <c r="L16" s="26">
        <v>2</v>
      </c>
      <c r="M16" s="26">
        <f>L16*5</f>
        <v>10</v>
      </c>
      <c r="N16" s="26">
        <v>100</v>
      </c>
      <c r="O16" s="53" t="s">
        <v>336</v>
      </c>
      <c r="P16" s="27">
        <v>8.0000000000000004E-4</v>
      </c>
      <c r="Q16" s="27">
        <f>P16*N16</f>
        <v>0.08</v>
      </c>
      <c r="R16" s="26"/>
      <c r="S16" s="45"/>
    </row>
    <row r="17" spans="1:19" ht="36" x14ac:dyDescent="0.25">
      <c r="A17" s="1"/>
      <c r="B17" s="36">
        <f t="shared" si="0"/>
        <v>8</v>
      </c>
      <c r="C17" s="41" t="s">
        <v>9</v>
      </c>
      <c r="D17" s="38" t="s">
        <v>33</v>
      </c>
      <c r="E17" s="38" t="s">
        <v>90</v>
      </c>
      <c r="F17" s="38" t="s">
        <v>333</v>
      </c>
      <c r="G17" s="38" t="s">
        <v>144</v>
      </c>
      <c r="H17" s="38" t="s">
        <v>221</v>
      </c>
      <c r="I17" s="38" t="s">
        <v>334</v>
      </c>
      <c r="J17" s="38" t="s">
        <v>256</v>
      </c>
      <c r="K17" s="49" t="s">
        <v>304</v>
      </c>
      <c r="L17" s="38">
        <v>2</v>
      </c>
      <c r="M17" s="38">
        <f t="shared" ref="M17" si="6">L17*5</f>
        <v>10</v>
      </c>
      <c r="N17" s="38">
        <v>20</v>
      </c>
      <c r="O17" s="54" t="s">
        <v>336</v>
      </c>
      <c r="P17" s="39">
        <v>7.1599999999999997E-2</v>
      </c>
      <c r="Q17" s="39">
        <f t="shared" ref="Q17" si="7">P17*N17</f>
        <v>1.4319999999999999</v>
      </c>
      <c r="R17" s="38"/>
      <c r="S17" s="45"/>
    </row>
    <row r="18" spans="1:19" ht="24" x14ac:dyDescent="0.25">
      <c r="A18" s="1"/>
      <c r="B18" s="35">
        <f>ROW(B18) - ROW($B$9)</f>
        <v>9</v>
      </c>
      <c r="C18" s="40" t="s">
        <v>9</v>
      </c>
      <c r="D18" s="26" t="s">
        <v>34</v>
      </c>
      <c r="E18" s="26" t="s">
        <v>91</v>
      </c>
      <c r="F18" s="38" t="s">
        <v>333</v>
      </c>
      <c r="G18" s="26" t="s">
        <v>180</v>
      </c>
      <c r="H18" s="26" t="s">
        <v>222</v>
      </c>
      <c r="I18" s="26" t="s">
        <v>334</v>
      </c>
      <c r="J18" s="26" t="s">
        <v>257</v>
      </c>
      <c r="K18" s="48" t="s">
        <v>301</v>
      </c>
      <c r="L18" s="26">
        <v>1</v>
      </c>
      <c r="M18" s="26">
        <f>L18*5</f>
        <v>5</v>
      </c>
      <c r="N18" s="26">
        <v>10</v>
      </c>
      <c r="O18" s="53" t="s">
        <v>336</v>
      </c>
      <c r="P18" s="27">
        <v>5.0900000000000001E-2</v>
      </c>
      <c r="Q18" s="27">
        <f>P18*N18</f>
        <v>0.50900000000000001</v>
      </c>
      <c r="R18" s="26"/>
      <c r="S18" s="45"/>
    </row>
    <row r="19" spans="1:19" x14ac:dyDescent="0.25">
      <c r="A19" s="1"/>
      <c r="B19" s="36">
        <f t="shared" si="0"/>
        <v>10</v>
      </c>
      <c r="C19" s="40" t="s">
        <v>9</v>
      </c>
      <c r="D19" s="38" t="s">
        <v>35</v>
      </c>
      <c r="E19" s="38" t="s">
        <v>92</v>
      </c>
      <c r="F19" s="38" t="s">
        <v>141</v>
      </c>
      <c r="G19" s="38" t="s">
        <v>181</v>
      </c>
      <c r="H19" s="38" t="s">
        <v>219</v>
      </c>
      <c r="I19" s="26" t="s">
        <v>334</v>
      </c>
      <c r="J19" s="38" t="s">
        <v>258</v>
      </c>
      <c r="K19" s="49" t="s">
        <v>305</v>
      </c>
      <c r="L19" s="38">
        <v>2</v>
      </c>
      <c r="M19" s="38">
        <f t="shared" ref="M19" si="8">L19*5</f>
        <v>10</v>
      </c>
      <c r="N19" s="38">
        <v>100</v>
      </c>
      <c r="O19" s="54" t="s">
        <v>336</v>
      </c>
      <c r="P19" s="39">
        <v>3.0000000000000001E-3</v>
      </c>
      <c r="Q19" s="39">
        <f t="shared" ref="Q19" si="9">P19*N19</f>
        <v>0.3</v>
      </c>
      <c r="R19" s="38"/>
      <c r="S19" s="45"/>
    </row>
    <row r="20" spans="1:19" x14ac:dyDescent="0.25">
      <c r="A20" s="1"/>
      <c r="B20" s="35">
        <f>ROW(B20) - ROW($B$9)</f>
        <v>11</v>
      </c>
      <c r="C20" s="40" t="s">
        <v>9</v>
      </c>
      <c r="D20" s="26" t="s">
        <v>36</v>
      </c>
      <c r="E20" s="26" t="s">
        <v>93</v>
      </c>
      <c r="F20" s="26" t="s">
        <v>141</v>
      </c>
      <c r="G20" s="26" t="s">
        <v>182</v>
      </c>
      <c r="H20" s="26" t="s">
        <v>219</v>
      </c>
      <c r="I20" s="26" t="s">
        <v>334</v>
      </c>
      <c r="J20" s="26" t="s">
        <v>259</v>
      </c>
      <c r="K20" s="48" t="s">
        <v>306</v>
      </c>
      <c r="L20" s="26">
        <v>2</v>
      </c>
      <c r="M20" s="26">
        <f>L20*5</f>
        <v>10</v>
      </c>
      <c r="N20" s="26">
        <v>100</v>
      </c>
      <c r="O20" s="53" t="s">
        <v>336</v>
      </c>
      <c r="P20" s="27">
        <v>2.7000000000000001E-3</v>
      </c>
      <c r="Q20" s="27">
        <f>P20*N20</f>
        <v>0.27</v>
      </c>
      <c r="R20" s="26"/>
      <c r="S20" s="45"/>
    </row>
    <row r="21" spans="1:19" x14ac:dyDescent="0.25">
      <c r="A21" s="1"/>
      <c r="B21" s="36">
        <f t="shared" si="0"/>
        <v>12</v>
      </c>
      <c r="C21" s="40" t="s">
        <v>9</v>
      </c>
      <c r="D21" s="38" t="s">
        <v>37</v>
      </c>
      <c r="E21" s="38" t="s">
        <v>94</v>
      </c>
      <c r="F21" s="38" t="s">
        <v>143</v>
      </c>
      <c r="G21" s="50" t="s">
        <v>183</v>
      </c>
      <c r="H21" s="38" t="s">
        <v>219</v>
      </c>
      <c r="I21" s="38" t="s">
        <v>339</v>
      </c>
      <c r="J21" s="38" t="s">
        <v>340</v>
      </c>
      <c r="K21" s="49" t="s">
        <v>307</v>
      </c>
      <c r="L21" s="38">
        <v>6</v>
      </c>
      <c r="M21" s="38">
        <f t="shared" ref="M21" si="10">L21*5</f>
        <v>30</v>
      </c>
      <c r="N21" s="38">
        <v>50</v>
      </c>
      <c r="O21" s="54" t="s">
        <v>336</v>
      </c>
      <c r="P21" s="39">
        <v>5.4999999999999997E-3</v>
      </c>
      <c r="Q21" s="39">
        <f t="shared" ref="Q21" si="11">P21*N21</f>
        <v>0.27499999999999997</v>
      </c>
      <c r="R21" s="38"/>
      <c r="S21" s="45"/>
    </row>
    <row r="22" spans="1:19" ht="24" x14ac:dyDescent="0.25">
      <c r="A22" s="1"/>
      <c r="B22" s="35">
        <f>ROW(B22) - ROW($B$9)</f>
        <v>13</v>
      </c>
      <c r="C22" s="40" t="s">
        <v>10</v>
      </c>
      <c r="D22" s="26" t="s">
        <v>38</v>
      </c>
      <c r="E22" s="26" t="s">
        <v>95</v>
      </c>
      <c r="F22" s="26" t="s">
        <v>145</v>
      </c>
      <c r="G22" s="26" t="s">
        <v>184</v>
      </c>
      <c r="H22" s="26" t="s">
        <v>223</v>
      </c>
      <c r="I22" s="26" t="s">
        <v>334</v>
      </c>
      <c r="J22" s="26" t="s">
        <v>260</v>
      </c>
      <c r="K22" s="48" t="s">
        <v>334</v>
      </c>
      <c r="L22" s="26">
        <v>1</v>
      </c>
      <c r="M22" s="26">
        <f>L22*5</f>
        <v>5</v>
      </c>
      <c r="N22" s="26">
        <v>10</v>
      </c>
      <c r="O22" s="53" t="s">
        <v>336</v>
      </c>
      <c r="P22" s="27">
        <v>0.14360000000000001</v>
      </c>
      <c r="Q22" s="27">
        <f>P22*N22</f>
        <v>1.4359999999999999</v>
      </c>
      <c r="R22" s="26"/>
      <c r="S22" s="45"/>
    </row>
    <row r="23" spans="1:19" ht="24" x14ac:dyDescent="0.25">
      <c r="A23" s="1"/>
      <c r="B23" s="36">
        <f t="shared" si="0"/>
        <v>14</v>
      </c>
      <c r="C23" s="41" t="s">
        <v>10</v>
      </c>
      <c r="D23" s="38" t="s">
        <v>39</v>
      </c>
      <c r="E23" s="38" t="s">
        <v>96</v>
      </c>
      <c r="F23" s="38" t="s">
        <v>146</v>
      </c>
      <c r="G23" s="38" t="s">
        <v>185</v>
      </c>
      <c r="H23" s="38" t="s">
        <v>224</v>
      </c>
      <c r="I23" s="38" t="s">
        <v>334</v>
      </c>
      <c r="J23" s="38" t="s">
        <v>261</v>
      </c>
      <c r="K23" s="49" t="s">
        <v>334</v>
      </c>
      <c r="L23" s="38">
        <v>1</v>
      </c>
      <c r="M23" s="38">
        <f t="shared" ref="M23" si="12">L23*5</f>
        <v>5</v>
      </c>
      <c r="N23" s="38">
        <v>10</v>
      </c>
      <c r="O23" s="54" t="s">
        <v>336</v>
      </c>
      <c r="P23" s="39">
        <v>4.4600000000000001E-2</v>
      </c>
      <c r="Q23" s="39">
        <f t="shared" ref="Q23" si="13">P23*N23</f>
        <v>0.44600000000000001</v>
      </c>
      <c r="R23" s="38"/>
      <c r="S23" s="45"/>
    </row>
    <row r="24" spans="1:19" ht="24" x14ac:dyDescent="0.25">
      <c r="A24" s="1"/>
      <c r="B24" s="35">
        <f>ROW(B24) - ROW($B$9)</f>
        <v>15</v>
      </c>
      <c r="C24" s="40" t="s">
        <v>10</v>
      </c>
      <c r="D24" s="26" t="s">
        <v>40</v>
      </c>
      <c r="E24" s="26" t="s">
        <v>97</v>
      </c>
      <c r="F24" s="26" t="s">
        <v>146</v>
      </c>
      <c r="G24" s="26" t="s">
        <v>186</v>
      </c>
      <c r="H24" s="26" t="s">
        <v>225</v>
      </c>
      <c r="I24" s="26" t="s">
        <v>334</v>
      </c>
      <c r="J24" s="26" t="s">
        <v>262</v>
      </c>
      <c r="K24" s="48" t="s">
        <v>334</v>
      </c>
      <c r="L24" s="26">
        <v>1</v>
      </c>
      <c r="M24" s="26">
        <f>L24*5</f>
        <v>5</v>
      </c>
      <c r="N24" s="26">
        <v>10</v>
      </c>
      <c r="O24" s="53" t="s">
        <v>336</v>
      </c>
      <c r="P24" s="27">
        <v>9.1499999999999998E-2</v>
      </c>
      <c r="Q24" s="27">
        <f>P24*N24</f>
        <v>0.91500000000000004</v>
      </c>
      <c r="R24" s="26"/>
      <c r="S24" s="45"/>
    </row>
    <row r="25" spans="1:19" x14ac:dyDescent="0.25">
      <c r="A25" s="1"/>
      <c r="B25" s="36">
        <f t="shared" si="0"/>
        <v>16</v>
      </c>
      <c r="C25" s="41" t="s">
        <v>10</v>
      </c>
      <c r="D25" s="38" t="s">
        <v>41</v>
      </c>
      <c r="E25" s="38" t="s">
        <v>98</v>
      </c>
      <c r="F25" s="38" t="s">
        <v>147</v>
      </c>
      <c r="G25" s="38" t="s">
        <v>187</v>
      </c>
      <c r="H25" s="38" t="s">
        <v>226</v>
      </c>
      <c r="I25" s="38" t="s">
        <v>334</v>
      </c>
      <c r="J25" s="38" t="s">
        <v>263</v>
      </c>
      <c r="K25" s="49" t="s">
        <v>334</v>
      </c>
      <c r="L25" s="38">
        <v>6</v>
      </c>
      <c r="M25" s="38">
        <f t="shared" ref="M25" si="14">L25*5</f>
        <v>30</v>
      </c>
      <c r="N25" s="38">
        <v>40</v>
      </c>
      <c r="O25" s="54" t="s">
        <v>336</v>
      </c>
      <c r="P25" s="39">
        <v>1.0500000000000001E-2</v>
      </c>
      <c r="Q25" s="39">
        <f t="shared" ref="Q25" si="15">P25*N25</f>
        <v>0.42000000000000004</v>
      </c>
      <c r="R25" s="38"/>
      <c r="S25" s="45"/>
    </row>
    <row r="26" spans="1:19" ht="36" x14ac:dyDescent="0.25">
      <c r="A26" s="1"/>
      <c r="B26" s="35">
        <f>ROW(B26) - ROW($B$9)</f>
        <v>17</v>
      </c>
      <c r="C26" s="40" t="s">
        <v>10</v>
      </c>
      <c r="D26" s="26" t="s">
        <v>42</v>
      </c>
      <c r="E26" s="26" t="s">
        <v>99</v>
      </c>
      <c r="F26" s="26" t="s">
        <v>148</v>
      </c>
      <c r="G26" s="26" t="s">
        <v>188</v>
      </c>
      <c r="H26" s="26" t="s">
        <v>227</v>
      </c>
      <c r="I26" s="26" t="s">
        <v>334</v>
      </c>
      <c r="J26" s="26" t="s">
        <v>264</v>
      </c>
      <c r="K26" s="48" t="s">
        <v>334</v>
      </c>
      <c r="L26" s="26">
        <v>18</v>
      </c>
      <c r="M26" s="26">
        <f>L26*5</f>
        <v>90</v>
      </c>
      <c r="N26" s="26">
        <v>95</v>
      </c>
      <c r="O26" s="53" t="s">
        <v>336</v>
      </c>
      <c r="P26" s="27">
        <v>0.1128</v>
      </c>
      <c r="Q26" s="27">
        <f>P26*N26</f>
        <v>10.715999999999999</v>
      </c>
      <c r="R26" s="26"/>
      <c r="S26" s="45"/>
    </row>
    <row r="27" spans="1:19" ht="24" x14ac:dyDescent="0.25">
      <c r="A27" s="1"/>
      <c r="B27" s="36">
        <f t="shared" si="0"/>
        <v>18</v>
      </c>
      <c r="C27" s="41" t="s">
        <v>11</v>
      </c>
      <c r="D27" s="38" t="s">
        <v>43</v>
      </c>
      <c r="E27" s="38" t="s">
        <v>100</v>
      </c>
      <c r="F27" s="38" t="s">
        <v>149</v>
      </c>
      <c r="G27" s="38" t="s">
        <v>189</v>
      </c>
      <c r="H27" s="38" t="s">
        <v>228</v>
      </c>
      <c r="I27" s="38" t="s">
        <v>334</v>
      </c>
      <c r="J27" s="38" t="s">
        <v>265</v>
      </c>
      <c r="K27" s="49" t="s">
        <v>334</v>
      </c>
      <c r="L27" s="38">
        <v>1</v>
      </c>
      <c r="M27" s="38">
        <f t="shared" ref="M27" si="16">L27*5</f>
        <v>5</v>
      </c>
      <c r="N27" s="38">
        <v>6</v>
      </c>
      <c r="O27" s="54" t="s">
        <v>336</v>
      </c>
      <c r="P27" s="39">
        <v>1.1215999999999999</v>
      </c>
      <c r="Q27" s="39">
        <f t="shared" ref="Q27" si="17">P27*N27</f>
        <v>6.7295999999999996</v>
      </c>
      <c r="R27" s="38"/>
      <c r="S27" s="45"/>
    </row>
    <row r="28" spans="1:19" ht="24" x14ac:dyDescent="0.25">
      <c r="A28" s="1"/>
      <c r="B28" s="35">
        <f>ROW(B28) - ROW($B$9)</f>
        <v>19</v>
      </c>
      <c r="C28" s="40" t="s">
        <v>11</v>
      </c>
      <c r="D28" s="26" t="s">
        <v>44</v>
      </c>
      <c r="E28" s="26" t="s">
        <v>101</v>
      </c>
      <c r="F28" s="26" t="s">
        <v>150</v>
      </c>
      <c r="G28" s="26" t="s">
        <v>190</v>
      </c>
      <c r="H28" s="26" t="s">
        <v>229</v>
      </c>
      <c r="I28" s="26" t="s">
        <v>334</v>
      </c>
      <c r="J28" s="26" t="s">
        <v>266</v>
      </c>
      <c r="K28" s="48" t="s">
        <v>334</v>
      </c>
      <c r="L28" s="26">
        <v>12</v>
      </c>
      <c r="M28" s="26">
        <f>L28*5</f>
        <v>60</v>
      </c>
      <c r="N28" s="26">
        <v>70</v>
      </c>
      <c r="O28" s="53" t="s">
        <v>336</v>
      </c>
      <c r="P28" s="27">
        <v>4.6199999999999998E-2</v>
      </c>
      <c r="Q28" s="27">
        <f>P28*N28</f>
        <v>3.234</v>
      </c>
      <c r="R28" s="26"/>
      <c r="S28" s="45"/>
    </row>
    <row r="29" spans="1:19" x14ac:dyDescent="0.25">
      <c r="A29" s="1"/>
      <c r="B29" s="36">
        <f t="shared" si="0"/>
        <v>20</v>
      </c>
      <c r="C29" s="50" t="s">
        <v>12</v>
      </c>
      <c r="D29" s="50" t="s">
        <v>45</v>
      </c>
      <c r="E29" s="50" t="s">
        <v>102</v>
      </c>
      <c r="F29" s="50" t="s">
        <v>333</v>
      </c>
      <c r="G29" s="50" t="s">
        <v>151</v>
      </c>
      <c r="H29" s="50" t="s">
        <v>334</v>
      </c>
      <c r="I29" s="26" t="s">
        <v>334</v>
      </c>
      <c r="J29" s="50" t="s">
        <v>334</v>
      </c>
      <c r="K29" s="50" t="s">
        <v>334</v>
      </c>
      <c r="L29" s="50">
        <v>1</v>
      </c>
      <c r="M29" s="50">
        <f t="shared" ref="M29" si="18">L29*5</f>
        <v>5</v>
      </c>
      <c r="N29" s="50" t="s">
        <v>334</v>
      </c>
      <c r="O29" s="50" t="s">
        <v>334</v>
      </c>
      <c r="P29" s="50" t="s">
        <v>334</v>
      </c>
      <c r="Q29" s="50" t="s">
        <v>334</v>
      </c>
      <c r="R29" s="50"/>
      <c r="S29" s="50"/>
    </row>
    <row r="30" spans="1:19" x14ac:dyDescent="0.25">
      <c r="A30" s="1"/>
      <c r="B30" s="35">
        <f>ROW(B30) - ROW($B$9)</f>
        <v>21</v>
      </c>
      <c r="C30" s="40" t="s">
        <v>13</v>
      </c>
      <c r="D30" s="26" t="s">
        <v>46</v>
      </c>
      <c r="E30" s="26" t="s">
        <v>103</v>
      </c>
      <c r="F30" s="46" t="s">
        <v>333</v>
      </c>
      <c r="G30" s="26" t="s">
        <v>191</v>
      </c>
      <c r="H30" s="26" t="s">
        <v>230</v>
      </c>
      <c r="I30" s="26"/>
      <c r="J30" s="26" t="s">
        <v>267</v>
      </c>
      <c r="K30" s="48" t="s">
        <v>334</v>
      </c>
      <c r="L30" s="26">
        <v>3</v>
      </c>
      <c r="M30" s="26">
        <f>L30*5</f>
        <v>15</v>
      </c>
      <c r="N30" s="26">
        <v>20</v>
      </c>
      <c r="O30" s="53" t="s">
        <v>336</v>
      </c>
      <c r="P30" s="27">
        <v>4.65E-2</v>
      </c>
      <c r="Q30" s="27">
        <f>P30*N30</f>
        <v>0.92999999999999994</v>
      </c>
      <c r="R30" s="26"/>
      <c r="S30" s="45"/>
    </row>
    <row r="31" spans="1:19" x14ac:dyDescent="0.25">
      <c r="A31" s="1"/>
      <c r="B31" s="36">
        <f t="shared" si="0"/>
        <v>22</v>
      </c>
      <c r="C31" s="41" t="s">
        <v>14</v>
      </c>
      <c r="D31" s="38" t="s">
        <v>47</v>
      </c>
      <c r="E31" s="38" t="s">
        <v>104</v>
      </c>
      <c r="F31" s="46" t="s">
        <v>333</v>
      </c>
      <c r="G31" s="50">
        <v>61300611121</v>
      </c>
      <c r="H31" s="38" t="s">
        <v>231</v>
      </c>
      <c r="I31" s="38" t="s">
        <v>341</v>
      </c>
      <c r="J31" s="38" t="s">
        <v>341</v>
      </c>
      <c r="K31" s="49" t="s">
        <v>334</v>
      </c>
      <c r="L31" s="38">
        <v>1</v>
      </c>
      <c r="M31" s="38">
        <f t="shared" ref="M31" si="19">L31*5</f>
        <v>5</v>
      </c>
      <c r="N31" s="38">
        <v>20</v>
      </c>
      <c r="O31" s="54" t="s">
        <v>336</v>
      </c>
      <c r="P31" s="39">
        <v>2.76E-2</v>
      </c>
      <c r="Q31" s="39">
        <f t="shared" ref="Q31" si="20">P31*N31</f>
        <v>0.55200000000000005</v>
      </c>
      <c r="R31" s="38"/>
      <c r="S31" s="45"/>
    </row>
    <row r="32" spans="1:19" ht="48" x14ac:dyDescent="0.25">
      <c r="A32" s="1"/>
      <c r="B32" s="35">
        <f>ROW(B32) - ROW($B$9)</f>
        <v>23</v>
      </c>
      <c r="C32" s="40" t="s">
        <v>14</v>
      </c>
      <c r="D32" s="26" t="s">
        <v>48</v>
      </c>
      <c r="E32" s="26" t="s">
        <v>105</v>
      </c>
      <c r="F32" s="46" t="s">
        <v>333</v>
      </c>
      <c r="G32" s="26" t="s">
        <v>192</v>
      </c>
      <c r="H32" s="26" t="s">
        <v>232</v>
      </c>
      <c r="I32" s="26" t="s">
        <v>334</v>
      </c>
      <c r="J32" s="26" t="s">
        <v>268</v>
      </c>
      <c r="K32" s="48" t="s">
        <v>334</v>
      </c>
      <c r="L32" s="26">
        <v>1</v>
      </c>
      <c r="M32" s="26">
        <f>L32*5</f>
        <v>5</v>
      </c>
      <c r="N32" s="26">
        <v>10</v>
      </c>
      <c r="O32" s="53" t="s">
        <v>336</v>
      </c>
      <c r="P32" s="27">
        <v>8.1799999999999998E-2</v>
      </c>
      <c r="Q32" s="27">
        <f>P32*N32</f>
        <v>0.81799999999999995</v>
      </c>
      <c r="R32" s="26"/>
      <c r="S32" s="45"/>
    </row>
    <row r="33" spans="1:19" ht="36" x14ac:dyDescent="0.25">
      <c r="A33" s="1"/>
      <c r="B33" s="36">
        <f t="shared" si="0"/>
        <v>24</v>
      </c>
      <c r="C33" s="41" t="s">
        <v>14</v>
      </c>
      <c r="D33" s="38" t="s">
        <v>49</v>
      </c>
      <c r="E33" s="38" t="s">
        <v>106</v>
      </c>
      <c r="F33" s="46" t="s">
        <v>333</v>
      </c>
      <c r="G33" s="38" t="s">
        <v>193</v>
      </c>
      <c r="H33" s="38" t="s">
        <v>233</v>
      </c>
      <c r="I33" s="38" t="s">
        <v>334</v>
      </c>
      <c r="J33" s="38" t="s">
        <v>269</v>
      </c>
      <c r="K33" s="49" t="s">
        <v>334</v>
      </c>
      <c r="L33" s="38">
        <v>1</v>
      </c>
      <c r="M33" s="38">
        <f t="shared" ref="M33" si="21">L33*5</f>
        <v>5</v>
      </c>
      <c r="N33" s="38">
        <v>10</v>
      </c>
      <c r="O33" s="54" t="s">
        <v>336</v>
      </c>
      <c r="P33" s="39">
        <v>0.31209999999999999</v>
      </c>
      <c r="Q33" s="39">
        <f t="shared" ref="Q33" si="22">P33*N33</f>
        <v>3.121</v>
      </c>
      <c r="R33" s="38"/>
      <c r="S33" s="45"/>
    </row>
    <row r="34" spans="1:19" ht="60" x14ac:dyDescent="0.25">
      <c r="A34" s="1"/>
      <c r="B34" s="35">
        <f>ROW(B34) - ROW($B$9)</f>
        <v>25</v>
      </c>
      <c r="C34" s="40" t="s">
        <v>15</v>
      </c>
      <c r="D34" s="26" t="s">
        <v>50</v>
      </c>
      <c r="E34" s="26" t="s">
        <v>107</v>
      </c>
      <c r="F34" s="46" t="s">
        <v>333</v>
      </c>
      <c r="G34" s="26" t="s">
        <v>152</v>
      </c>
      <c r="H34" s="26" t="s">
        <v>234</v>
      </c>
      <c r="I34" s="26" t="s">
        <v>334</v>
      </c>
      <c r="J34" s="26" t="s">
        <v>270</v>
      </c>
      <c r="K34" s="48" t="s">
        <v>334</v>
      </c>
      <c r="L34" s="26">
        <v>10</v>
      </c>
      <c r="M34" s="26">
        <f>L34*5</f>
        <v>50</v>
      </c>
      <c r="N34" s="26">
        <v>55</v>
      </c>
      <c r="O34" s="53" t="s">
        <v>336</v>
      </c>
      <c r="P34" s="27">
        <v>0.14910000000000001</v>
      </c>
      <c r="Q34" s="27">
        <f>P34*N34</f>
        <v>8.2004999999999999</v>
      </c>
      <c r="R34" s="26"/>
      <c r="S34" s="45"/>
    </row>
    <row r="35" spans="1:19" ht="24" x14ac:dyDescent="0.25">
      <c r="A35" s="1"/>
      <c r="B35" s="36">
        <f t="shared" si="0"/>
        <v>26</v>
      </c>
      <c r="C35" s="40" t="s">
        <v>15</v>
      </c>
      <c r="D35" s="38" t="s">
        <v>51</v>
      </c>
      <c r="E35" s="38" t="s">
        <v>108</v>
      </c>
      <c r="F35" s="46" t="s">
        <v>333</v>
      </c>
      <c r="G35" s="38" t="s">
        <v>194</v>
      </c>
      <c r="H35" s="38" t="s">
        <v>235</v>
      </c>
      <c r="I35" s="38" t="s">
        <v>334</v>
      </c>
      <c r="J35" s="38" t="s">
        <v>271</v>
      </c>
      <c r="K35" s="49" t="s">
        <v>334</v>
      </c>
      <c r="L35" s="38">
        <v>1</v>
      </c>
      <c r="M35" s="38">
        <f t="shared" ref="M35" si="23">L35*5</f>
        <v>5</v>
      </c>
      <c r="N35" s="38">
        <v>10</v>
      </c>
      <c r="O35" s="54" t="s">
        <v>336</v>
      </c>
      <c r="P35" s="39">
        <v>0.1026</v>
      </c>
      <c r="Q35" s="39">
        <f t="shared" ref="Q35" si="24">P35*N35</f>
        <v>1.026</v>
      </c>
      <c r="R35" s="38"/>
      <c r="S35" s="45"/>
    </row>
    <row r="36" spans="1:19" ht="48" x14ac:dyDescent="0.25">
      <c r="A36" s="1"/>
      <c r="B36" s="35">
        <f>ROW(B36) - ROW($B$9)</f>
        <v>27</v>
      </c>
      <c r="C36" s="40" t="s">
        <v>16</v>
      </c>
      <c r="D36" s="26" t="s">
        <v>52</v>
      </c>
      <c r="E36" s="26" t="s">
        <v>109</v>
      </c>
      <c r="F36" s="46" t="s">
        <v>333</v>
      </c>
      <c r="G36" s="26" t="s">
        <v>153</v>
      </c>
      <c r="H36" s="26" t="s">
        <v>236</v>
      </c>
      <c r="I36" s="26" t="s">
        <v>334</v>
      </c>
      <c r="J36" s="26" t="s">
        <v>272</v>
      </c>
      <c r="K36" s="48" t="s">
        <v>334</v>
      </c>
      <c r="L36" s="26">
        <v>1</v>
      </c>
      <c r="M36" s="26">
        <f>L36*5</f>
        <v>5</v>
      </c>
      <c r="N36" s="26">
        <v>10</v>
      </c>
      <c r="O36" s="53" t="s">
        <v>336</v>
      </c>
      <c r="P36" s="27">
        <v>3.4299999999999997E-2</v>
      </c>
      <c r="Q36" s="27">
        <f>P36*N36</f>
        <v>0.34299999999999997</v>
      </c>
      <c r="R36" s="26"/>
      <c r="S36" s="45"/>
    </row>
    <row r="37" spans="1:19" ht="36" x14ac:dyDescent="0.25">
      <c r="A37" s="1"/>
      <c r="B37" s="36">
        <f t="shared" si="0"/>
        <v>28</v>
      </c>
      <c r="C37" s="41" t="s">
        <v>17</v>
      </c>
      <c r="D37" s="38" t="s">
        <v>53</v>
      </c>
      <c r="E37" s="38" t="s">
        <v>110</v>
      </c>
      <c r="F37" s="46" t="s">
        <v>333</v>
      </c>
      <c r="G37" s="38" t="s">
        <v>195</v>
      </c>
      <c r="H37" s="38" t="s">
        <v>237</v>
      </c>
      <c r="I37" s="38" t="s">
        <v>334</v>
      </c>
      <c r="J37" s="38" t="s">
        <v>273</v>
      </c>
      <c r="K37" s="49" t="s">
        <v>308</v>
      </c>
      <c r="L37" s="38">
        <v>1</v>
      </c>
      <c r="M37" s="38">
        <f t="shared" ref="M37" si="25">L37*5</f>
        <v>5</v>
      </c>
      <c r="N37" s="38">
        <v>10</v>
      </c>
      <c r="O37" s="54" t="s">
        <v>336</v>
      </c>
      <c r="P37" s="39">
        <v>0.26219999999999999</v>
      </c>
      <c r="Q37" s="39">
        <f t="shared" ref="Q37" si="26">P37*N37</f>
        <v>2.6219999999999999</v>
      </c>
      <c r="R37" s="38"/>
      <c r="S37" s="45"/>
    </row>
    <row r="38" spans="1:19" ht="24" x14ac:dyDescent="0.25">
      <c r="A38" s="1"/>
      <c r="B38" s="35">
        <f>ROW(B38) - ROW($B$9)</f>
        <v>29</v>
      </c>
      <c r="C38" s="40" t="s">
        <v>17</v>
      </c>
      <c r="D38" s="26" t="s">
        <v>54</v>
      </c>
      <c r="E38" s="26" t="s">
        <v>111</v>
      </c>
      <c r="F38" s="46" t="s">
        <v>333</v>
      </c>
      <c r="G38" s="26" t="s">
        <v>154</v>
      </c>
      <c r="H38" s="26" t="s">
        <v>237</v>
      </c>
      <c r="I38" s="26" t="s">
        <v>334</v>
      </c>
      <c r="J38" s="26" t="s">
        <v>274</v>
      </c>
      <c r="K38" s="48" t="s">
        <v>309</v>
      </c>
      <c r="L38" s="26">
        <v>1</v>
      </c>
      <c r="M38" s="26">
        <f>L38*5</f>
        <v>5</v>
      </c>
      <c r="N38" s="26">
        <v>6</v>
      </c>
      <c r="O38" s="53" t="s">
        <v>336</v>
      </c>
      <c r="P38" s="27">
        <v>0.59</v>
      </c>
      <c r="Q38" s="27">
        <f>P38*N38</f>
        <v>3.54</v>
      </c>
      <c r="R38" s="26"/>
      <c r="S38" s="45"/>
    </row>
    <row r="39" spans="1:19" x14ac:dyDescent="0.25">
      <c r="A39" s="1"/>
      <c r="B39" s="36">
        <f t="shared" si="0"/>
        <v>30</v>
      </c>
      <c r="C39" s="41" t="s">
        <v>17</v>
      </c>
      <c r="D39" s="38" t="s">
        <v>55</v>
      </c>
      <c r="E39" s="38" t="s">
        <v>112</v>
      </c>
      <c r="F39" s="46" t="s">
        <v>333</v>
      </c>
      <c r="G39" s="38" t="s">
        <v>155</v>
      </c>
      <c r="H39" s="38" t="s">
        <v>238</v>
      </c>
      <c r="I39" s="26" t="s">
        <v>334</v>
      </c>
      <c r="J39" s="38" t="s">
        <v>275</v>
      </c>
      <c r="K39" s="49" t="s">
        <v>310</v>
      </c>
      <c r="L39" s="38">
        <v>1</v>
      </c>
      <c r="M39" s="38">
        <f t="shared" ref="M39" si="27">L39*5</f>
        <v>5</v>
      </c>
      <c r="N39" s="38">
        <v>10</v>
      </c>
      <c r="O39" s="54" t="s">
        <v>336</v>
      </c>
      <c r="P39" s="39">
        <v>0.1089</v>
      </c>
      <c r="Q39" s="39">
        <f t="shared" ref="Q39" si="28">P39*N39</f>
        <v>1.089</v>
      </c>
      <c r="R39" s="38"/>
      <c r="S39" s="45"/>
    </row>
    <row r="40" spans="1:19" ht="36" x14ac:dyDescent="0.25">
      <c r="A40" s="1"/>
      <c r="B40" s="35">
        <f>ROW(B40) - ROW($B$9)</f>
        <v>31</v>
      </c>
      <c r="C40" s="40" t="s">
        <v>18</v>
      </c>
      <c r="D40" s="26" t="s">
        <v>56</v>
      </c>
      <c r="E40" s="26" t="s">
        <v>113</v>
      </c>
      <c r="F40" s="26" t="s">
        <v>156</v>
      </c>
      <c r="G40" s="26" t="s">
        <v>196</v>
      </c>
      <c r="H40" s="26" t="s">
        <v>239</v>
      </c>
      <c r="I40" s="26" t="s">
        <v>334</v>
      </c>
      <c r="J40" s="26" t="s">
        <v>276</v>
      </c>
      <c r="K40" s="48" t="s">
        <v>334</v>
      </c>
      <c r="L40" s="26">
        <v>12</v>
      </c>
      <c r="M40" s="26">
        <f>L40*5</f>
        <v>60</v>
      </c>
      <c r="N40" s="26">
        <v>80</v>
      </c>
      <c r="O40" s="53" t="s">
        <v>336</v>
      </c>
      <c r="P40" s="27">
        <v>2.4199999999999999E-2</v>
      </c>
      <c r="Q40" s="27">
        <f>P40*N40</f>
        <v>1.9359999999999999</v>
      </c>
      <c r="R40" s="26"/>
      <c r="S40" s="45"/>
    </row>
    <row r="41" spans="1:19" ht="26.25" customHeight="1" x14ac:dyDescent="0.25">
      <c r="A41" s="1"/>
      <c r="B41" s="36">
        <f t="shared" si="0"/>
        <v>32</v>
      </c>
      <c r="C41" s="41" t="s">
        <v>324</v>
      </c>
      <c r="D41" s="38" t="s">
        <v>57</v>
      </c>
      <c r="E41" s="38" t="s">
        <v>114</v>
      </c>
      <c r="F41" s="46" t="s">
        <v>333</v>
      </c>
      <c r="G41" s="38" t="s">
        <v>157</v>
      </c>
      <c r="H41" s="38" t="s">
        <v>240</v>
      </c>
      <c r="I41" s="38" t="s">
        <v>334</v>
      </c>
      <c r="J41" s="38"/>
      <c r="K41" s="49" t="s">
        <v>334</v>
      </c>
      <c r="L41" s="38">
        <v>1</v>
      </c>
      <c r="M41" s="38">
        <f t="shared" ref="M41" si="29">L41*5</f>
        <v>5</v>
      </c>
      <c r="N41" s="38"/>
      <c r="O41" s="38"/>
      <c r="P41" s="39"/>
      <c r="Q41" s="39">
        <f t="shared" ref="Q41" si="30">P41*N41</f>
        <v>0</v>
      </c>
      <c r="R41" s="38"/>
      <c r="S41" s="45"/>
    </row>
    <row r="42" spans="1:19" ht="28.5" customHeight="1" x14ac:dyDescent="0.25">
      <c r="A42" s="1"/>
      <c r="B42" s="35">
        <f>ROW(B42) - ROW($B$9)</f>
        <v>33</v>
      </c>
      <c r="C42" s="40" t="s">
        <v>19</v>
      </c>
      <c r="D42" s="26" t="s">
        <v>58</v>
      </c>
      <c r="E42" s="26" t="s">
        <v>115</v>
      </c>
      <c r="F42" s="46" t="s">
        <v>333</v>
      </c>
      <c r="G42" s="26" t="s">
        <v>158</v>
      </c>
      <c r="H42" s="26" t="s">
        <v>229</v>
      </c>
      <c r="I42" s="26" t="s">
        <v>334</v>
      </c>
      <c r="J42" s="26" t="s">
        <v>277</v>
      </c>
      <c r="K42" s="48" t="s">
        <v>311</v>
      </c>
      <c r="L42" s="26">
        <v>1</v>
      </c>
      <c r="M42" s="26">
        <f>L42*5</f>
        <v>5</v>
      </c>
      <c r="N42" s="26">
        <v>6</v>
      </c>
      <c r="O42" s="53" t="s">
        <v>336</v>
      </c>
      <c r="P42" s="27">
        <v>0.65869999999999995</v>
      </c>
      <c r="Q42" s="27">
        <f>P42*N42</f>
        <v>3.9521999999999995</v>
      </c>
      <c r="R42" s="26"/>
      <c r="S42" s="45"/>
    </row>
    <row r="43" spans="1:19" x14ac:dyDescent="0.25">
      <c r="A43" s="1"/>
      <c r="B43" s="36">
        <f t="shared" si="0"/>
        <v>34</v>
      </c>
      <c r="C43" s="41" t="s">
        <v>20</v>
      </c>
      <c r="D43" s="38" t="s">
        <v>59</v>
      </c>
      <c r="E43" s="38" t="s">
        <v>116</v>
      </c>
      <c r="F43" s="38" t="s">
        <v>159</v>
      </c>
      <c r="G43" s="38" t="s">
        <v>197</v>
      </c>
      <c r="H43" s="38" t="s">
        <v>219</v>
      </c>
      <c r="I43" s="38" t="s">
        <v>334</v>
      </c>
      <c r="J43" s="38" t="s">
        <v>278</v>
      </c>
      <c r="K43" s="49" t="s">
        <v>312</v>
      </c>
      <c r="L43" s="38">
        <v>1</v>
      </c>
      <c r="M43" s="38">
        <f t="shared" ref="M43" si="31">L43*5</f>
        <v>5</v>
      </c>
      <c r="N43" s="38">
        <v>20</v>
      </c>
      <c r="O43" s="54" t="s">
        <v>336</v>
      </c>
      <c r="P43" s="39">
        <v>3.78E-2</v>
      </c>
      <c r="Q43" s="39">
        <f t="shared" ref="Q43" si="32">P43*N43</f>
        <v>0.75600000000000001</v>
      </c>
      <c r="R43" s="38"/>
      <c r="S43" s="45"/>
    </row>
    <row r="44" spans="1:19" x14ac:dyDescent="0.25">
      <c r="A44" s="1"/>
      <c r="B44" s="35">
        <f>ROW(B44) - ROW($B$9)</f>
        <v>35</v>
      </c>
      <c r="C44" s="40" t="s">
        <v>20</v>
      </c>
      <c r="D44" s="26" t="s">
        <v>60</v>
      </c>
      <c r="E44" s="26" t="s">
        <v>117</v>
      </c>
      <c r="F44" s="26" t="s">
        <v>160</v>
      </c>
      <c r="G44" s="26" t="s">
        <v>198</v>
      </c>
      <c r="H44" s="26" t="s">
        <v>219</v>
      </c>
      <c r="I44" s="26" t="s">
        <v>334</v>
      </c>
      <c r="J44" s="26" t="s">
        <v>279</v>
      </c>
      <c r="K44" s="48" t="s">
        <v>313</v>
      </c>
      <c r="L44" s="26">
        <v>2</v>
      </c>
      <c r="M44" s="26">
        <f>L44*5</f>
        <v>10</v>
      </c>
      <c r="N44" s="26">
        <v>20</v>
      </c>
      <c r="O44" s="53" t="s">
        <v>336</v>
      </c>
      <c r="P44" s="27">
        <v>2.69E-2</v>
      </c>
      <c r="Q44" s="27">
        <f>P44*N44</f>
        <v>0.53800000000000003</v>
      </c>
      <c r="R44" s="26"/>
      <c r="S44" s="45"/>
    </row>
    <row r="45" spans="1:19" x14ac:dyDescent="0.25">
      <c r="A45" s="1"/>
      <c r="B45" s="36">
        <f t="shared" si="0"/>
        <v>36</v>
      </c>
      <c r="C45" s="41" t="s">
        <v>20</v>
      </c>
      <c r="D45" s="38" t="s">
        <v>61</v>
      </c>
      <c r="E45" s="38" t="s">
        <v>118</v>
      </c>
      <c r="F45" s="38" t="s">
        <v>160</v>
      </c>
      <c r="G45" s="38" t="s">
        <v>199</v>
      </c>
      <c r="H45" s="38" t="s">
        <v>219</v>
      </c>
      <c r="I45" s="38" t="s">
        <v>334</v>
      </c>
      <c r="J45" s="38" t="s">
        <v>280</v>
      </c>
      <c r="K45" s="49" t="s">
        <v>314</v>
      </c>
      <c r="L45" s="38">
        <v>1</v>
      </c>
      <c r="M45" s="38">
        <f t="shared" ref="M45" si="33">L45*5</f>
        <v>5</v>
      </c>
      <c r="N45" s="38">
        <v>20</v>
      </c>
      <c r="O45" s="54" t="s">
        <v>336</v>
      </c>
      <c r="P45" s="39">
        <v>2.52E-2</v>
      </c>
      <c r="Q45" s="39">
        <f t="shared" ref="Q45" si="34">P45*N45</f>
        <v>0.504</v>
      </c>
      <c r="R45" s="38"/>
      <c r="S45" s="45"/>
    </row>
    <row r="46" spans="1:19" x14ac:dyDescent="0.25">
      <c r="A46" s="1"/>
      <c r="B46" s="35">
        <f>ROW(B46) - ROW($B$9)</f>
        <v>37</v>
      </c>
      <c r="C46" s="40" t="s">
        <v>20</v>
      </c>
      <c r="D46" s="26" t="s">
        <v>62</v>
      </c>
      <c r="E46" s="26" t="s">
        <v>119</v>
      </c>
      <c r="F46" s="26" t="s">
        <v>160</v>
      </c>
      <c r="G46" s="26" t="s">
        <v>200</v>
      </c>
      <c r="H46" s="26" t="s">
        <v>219</v>
      </c>
      <c r="I46" s="26" t="s">
        <v>334</v>
      </c>
      <c r="J46" s="26" t="s">
        <v>281</v>
      </c>
      <c r="K46" s="48" t="s">
        <v>315</v>
      </c>
      <c r="L46" s="26">
        <v>1</v>
      </c>
      <c r="M46" s="26">
        <f>L46*5</f>
        <v>5</v>
      </c>
      <c r="N46" s="26">
        <v>20</v>
      </c>
      <c r="O46" s="53" t="s">
        <v>336</v>
      </c>
      <c r="P46" s="27">
        <v>2.5499999999999998E-2</v>
      </c>
      <c r="Q46" s="27">
        <f>P46*N46</f>
        <v>0.51</v>
      </c>
      <c r="R46" s="26"/>
      <c r="S46" s="45"/>
    </row>
    <row r="47" spans="1:19" x14ac:dyDescent="0.25">
      <c r="A47" s="1"/>
      <c r="B47" s="36">
        <f t="shared" si="0"/>
        <v>38</v>
      </c>
      <c r="C47" s="41" t="s">
        <v>20</v>
      </c>
      <c r="D47" s="38" t="s">
        <v>63</v>
      </c>
      <c r="E47" s="38" t="s">
        <v>120</v>
      </c>
      <c r="F47" s="38" t="s">
        <v>160</v>
      </c>
      <c r="G47" s="38" t="s">
        <v>201</v>
      </c>
      <c r="H47" s="38" t="s">
        <v>219</v>
      </c>
      <c r="I47" s="26" t="s">
        <v>334</v>
      </c>
      <c r="J47" s="38" t="s">
        <v>282</v>
      </c>
      <c r="K47" s="49" t="s">
        <v>316</v>
      </c>
      <c r="L47" s="38">
        <v>1</v>
      </c>
      <c r="M47" s="38">
        <f t="shared" ref="M47" si="35">L47*5</f>
        <v>5</v>
      </c>
      <c r="N47" s="38">
        <v>20</v>
      </c>
      <c r="O47" s="54" t="s">
        <v>336</v>
      </c>
      <c r="P47" s="39">
        <v>2.58E-2</v>
      </c>
      <c r="Q47" s="39">
        <f t="shared" ref="Q47" si="36">P47*N47</f>
        <v>0.51600000000000001</v>
      </c>
      <c r="R47" s="38"/>
      <c r="S47" s="45"/>
    </row>
    <row r="48" spans="1:19" ht="17.25" customHeight="1" x14ac:dyDescent="0.25">
      <c r="A48" s="1"/>
      <c r="B48" s="35">
        <f>ROW(B48) - ROW($B$9)</f>
        <v>39</v>
      </c>
      <c r="C48" s="40" t="s">
        <v>20</v>
      </c>
      <c r="D48" s="26" t="s">
        <v>64</v>
      </c>
      <c r="E48" s="26" t="s">
        <v>121</v>
      </c>
      <c r="F48" s="26" t="s">
        <v>160</v>
      </c>
      <c r="G48" s="50" t="s">
        <v>202</v>
      </c>
      <c r="H48" s="26" t="s">
        <v>219</v>
      </c>
      <c r="I48" s="26" t="s">
        <v>342</v>
      </c>
      <c r="J48" s="26" t="s">
        <v>343</v>
      </c>
      <c r="K48" s="48" t="s">
        <v>317</v>
      </c>
      <c r="L48" s="26">
        <v>1</v>
      </c>
      <c r="M48" s="26">
        <f>L48*5</f>
        <v>5</v>
      </c>
      <c r="N48" s="26">
        <v>100</v>
      </c>
      <c r="O48" s="53" t="s">
        <v>336</v>
      </c>
      <c r="P48" s="27">
        <v>1.1999999999999999E-3</v>
      </c>
      <c r="Q48" s="27">
        <f>P48*N48</f>
        <v>0.12</v>
      </c>
      <c r="R48" s="26"/>
      <c r="S48" s="45"/>
    </row>
    <row r="49" spans="1:19" x14ac:dyDescent="0.25">
      <c r="A49" s="1"/>
      <c r="B49" s="36">
        <f t="shared" si="0"/>
        <v>40</v>
      </c>
      <c r="C49" s="40" t="s">
        <v>20</v>
      </c>
      <c r="D49" s="38" t="s">
        <v>65</v>
      </c>
      <c r="E49" s="38" t="s">
        <v>122</v>
      </c>
      <c r="F49" s="38" t="s">
        <v>160</v>
      </c>
      <c r="G49" s="38" t="s">
        <v>203</v>
      </c>
      <c r="H49" s="38" t="s">
        <v>219</v>
      </c>
      <c r="I49" s="26" t="s">
        <v>334</v>
      </c>
      <c r="J49" s="38" t="s">
        <v>283</v>
      </c>
      <c r="K49" s="49" t="s">
        <v>311</v>
      </c>
      <c r="L49" s="38">
        <v>4</v>
      </c>
      <c r="M49" s="38">
        <f t="shared" ref="M49" si="37">L49*5</f>
        <v>20</v>
      </c>
      <c r="N49" s="38">
        <v>100</v>
      </c>
      <c r="O49" s="54" t="s">
        <v>336</v>
      </c>
      <c r="P49" s="39">
        <v>5.9999999999999995E-4</v>
      </c>
      <c r="Q49" s="39">
        <f t="shared" ref="Q49" si="38">P49*N49</f>
        <v>0.06</v>
      </c>
      <c r="R49" s="38"/>
      <c r="S49" s="45"/>
    </row>
    <row r="50" spans="1:19" ht="60" x14ac:dyDescent="0.25">
      <c r="A50" s="1"/>
      <c r="B50" s="35">
        <f>ROW(B50) - ROW($B$9)</f>
        <v>41</v>
      </c>
      <c r="C50" s="40" t="s">
        <v>20</v>
      </c>
      <c r="D50" s="26" t="s">
        <v>66</v>
      </c>
      <c r="E50" s="26" t="s">
        <v>123</v>
      </c>
      <c r="F50" s="26" t="s">
        <v>160</v>
      </c>
      <c r="G50" s="26" t="s">
        <v>204</v>
      </c>
      <c r="H50" s="26" t="s">
        <v>219</v>
      </c>
      <c r="I50" s="38" t="s">
        <v>334</v>
      </c>
      <c r="J50" s="26" t="s">
        <v>284</v>
      </c>
      <c r="K50" s="48" t="s">
        <v>318</v>
      </c>
      <c r="L50" s="26">
        <v>30</v>
      </c>
      <c r="M50" s="26">
        <f>L50*5</f>
        <v>150</v>
      </c>
      <c r="N50" s="26">
        <v>200</v>
      </c>
      <c r="O50" s="53" t="s">
        <v>336</v>
      </c>
      <c r="P50" s="27">
        <v>6.9999999999999999E-4</v>
      </c>
      <c r="Q50" s="27">
        <f>P50*N50</f>
        <v>0.13999999999999999</v>
      </c>
      <c r="R50" s="26"/>
      <c r="S50" s="45"/>
    </row>
    <row r="51" spans="1:19" ht="48" x14ac:dyDescent="0.25">
      <c r="A51" s="1"/>
      <c r="B51" s="36">
        <f t="shared" si="0"/>
        <v>42</v>
      </c>
      <c r="C51" s="41" t="s">
        <v>20</v>
      </c>
      <c r="D51" s="38" t="s">
        <v>67</v>
      </c>
      <c r="E51" s="38" t="s">
        <v>124</v>
      </c>
      <c r="F51" s="38" t="s">
        <v>160</v>
      </c>
      <c r="G51" s="38" t="s">
        <v>205</v>
      </c>
      <c r="H51" s="38" t="s">
        <v>219</v>
      </c>
      <c r="I51" s="26" t="s">
        <v>334</v>
      </c>
      <c r="J51" s="38" t="s">
        <v>285</v>
      </c>
      <c r="K51" s="49" t="s">
        <v>319</v>
      </c>
      <c r="L51" s="38">
        <v>24</v>
      </c>
      <c r="M51" s="38">
        <f t="shared" ref="M51" si="39">L51*5</f>
        <v>120</v>
      </c>
      <c r="N51" s="38">
        <v>200</v>
      </c>
      <c r="O51" s="54" t="s">
        <v>336</v>
      </c>
      <c r="P51" s="39">
        <v>6.9999999999999999E-4</v>
      </c>
      <c r="Q51" s="39">
        <f t="shared" ref="Q51" si="40">P51*N51</f>
        <v>0.13999999999999999</v>
      </c>
      <c r="R51" s="38"/>
      <c r="S51" s="45"/>
    </row>
    <row r="52" spans="1:19" ht="24" x14ac:dyDescent="0.25">
      <c r="A52" s="1"/>
      <c r="B52" s="35">
        <f>ROW(B52) - ROW($B$9)</f>
        <v>43</v>
      </c>
      <c r="C52" s="40" t="s">
        <v>20</v>
      </c>
      <c r="D52" s="26" t="s">
        <v>68</v>
      </c>
      <c r="E52" s="26" t="s">
        <v>125</v>
      </c>
      <c r="F52" s="26" t="s">
        <v>160</v>
      </c>
      <c r="G52" s="26" t="s">
        <v>206</v>
      </c>
      <c r="H52" s="26" t="s">
        <v>219</v>
      </c>
      <c r="I52" s="38" t="s">
        <v>334</v>
      </c>
      <c r="J52" s="26" t="s">
        <v>286</v>
      </c>
      <c r="K52" s="48" t="s">
        <v>320</v>
      </c>
      <c r="L52" s="26">
        <v>12</v>
      </c>
      <c r="M52" s="26">
        <f>L52*5</f>
        <v>60</v>
      </c>
      <c r="N52" s="26">
        <v>100</v>
      </c>
      <c r="O52" s="53" t="s">
        <v>336</v>
      </c>
      <c r="P52" s="27">
        <v>6.9999999999999999E-4</v>
      </c>
      <c r="Q52" s="27">
        <f>P52*N52</f>
        <v>6.9999999999999993E-2</v>
      </c>
      <c r="R52" s="26"/>
      <c r="S52" s="45"/>
    </row>
    <row r="53" spans="1:19" x14ac:dyDescent="0.25">
      <c r="A53" s="1"/>
      <c r="B53" s="36">
        <f t="shared" si="0"/>
        <v>44</v>
      </c>
      <c r="C53" s="41" t="s">
        <v>20</v>
      </c>
      <c r="D53" s="38" t="s">
        <v>69</v>
      </c>
      <c r="E53" s="38" t="s">
        <v>126</v>
      </c>
      <c r="F53" s="38" t="s">
        <v>160</v>
      </c>
      <c r="G53" s="38" t="s">
        <v>207</v>
      </c>
      <c r="H53" s="38" t="s">
        <v>219</v>
      </c>
      <c r="I53" s="26" t="s">
        <v>334</v>
      </c>
      <c r="J53" s="38" t="s">
        <v>287</v>
      </c>
      <c r="K53" s="49" t="s">
        <v>321</v>
      </c>
      <c r="L53" s="38">
        <v>6</v>
      </c>
      <c r="M53" s="38">
        <f t="shared" ref="M53" si="41">L53*5</f>
        <v>30</v>
      </c>
      <c r="N53" s="38">
        <v>100</v>
      </c>
      <c r="O53" s="54" t="s">
        <v>336</v>
      </c>
      <c r="P53" s="39">
        <v>5.9999999999999995E-4</v>
      </c>
      <c r="Q53" s="39">
        <f t="shared" ref="Q53" si="42">P53*N53</f>
        <v>0.06</v>
      </c>
      <c r="R53" s="38"/>
      <c r="S53" s="45"/>
    </row>
    <row r="54" spans="1:19" x14ac:dyDescent="0.25">
      <c r="A54" s="1"/>
      <c r="B54" s="35">
        <f>ROW(B54) - ROW($B$9)</f>
        <v>45</v>
      </c>
      <c r="C54" s="40" t="s">
        <v>20</v>
      </c>
      <c r="D54" s="26" t="s">
        <v>70</v>
      </c>
      <c r="E54" s="26" t="s">
        <v>127</v>
      </c>
      <c r="F54" s="26" t="s">
        <v>161</v>
      </c>
      <c r="G54" s="26" t="s">
        <v>208</v>
      </c>
      <c r="H54" s="26" t="s">
        <v>219</v>
      </c>
      <c r="I54" s="38" t="s">
        <v>334</v>
      </c>
      <c r="J54" s="26" t="s">
        <v>288</v>
      </c>
      <c r="K54" s="48" t="s">
        <v>322</v>
      </c>
      <c r="L54" s="26">
        <v>6</v>
      </c>
      <c r="M54" s="26">
        <f>L54*5</f>
        <v>30</v>
      </c>
      <c r="N54" s="26">
        <v>100</v>
      </c>
      <c r="O54" s="53" t="s">
        <v>336</v>
      </c>
      <c r="P54" s="27">
        <v>1.1999999999999999E-3</v>
      </c>
      <c r="Q54" s="27">
        <f>P54*N54</f>
        <v>0.12</v>
      </c>
      <c r="R54" s="26"/>
      <c r="S54" s="45"/>
    </row>
    <row r="55" spans="1:19" ht="48" x14ac:dyDescent="0.25">
      <c r="A55" s="1"/>
      <c r="B55" s="36">
        <f t="shared" si="0"/>
        <v>46</v>
      </c>
      <c r="C55" s="50" t="s">
        <v>21</v>
      </c>
      <c r="D55" s="52" t="s">
        <v>71</v>
      </c>
      <c r="E55" s="50" t="s">
        <v>128</v>
      </c>
      <c r="F55" s="50" t="s">
        <v>162</v>
      </c>
      <c r="G55" s="50" t="s">
        <v>162</v>
      </c>
      <c r="H55" s="50" t="s">
        <v>334</v>
      </c>
      <c r="I55" s="26" t="s">
        <v>334</v>
      </c>
      <c r="J55" s="50"/>
      <c r="K55" s="50" t="s">
        <v>334</v>
      </c>
      <c r="L55" s="50">
        <v>20</v>
      </c>
      <c r="M55" s="50">
        <f t="shared" ref="M55" si="43">L55*5</f>
        <v>100</v>
      </c>
      <c r="N55" s="50" t="s">
        <v>334</v>
      </c>
      <c r="O55" s="50" t="s">
        <v>334</v>
      </c>
      <c r="P55" s="50" t="s">
        <v>334</v>
      </c>
      <c r="Q55" s="50" t="s">
        <v>334</v>
      </c>
      <c r="R55" s="50"/>
      <c r="S55" s="50"/>
    </row>
    <row r="56" spans="1:19" ht="48" x14ac:dyDescent="0.25">
      <c r="A56" s="1"/>
      <c r="B56" s="35">
        <f>ROW(B56) - ROW($B$9)</f>
        <v>47</v>
      </c>
      <c r="C56" s="40" t="s">
        <v>22</v>
      </c>
      <c r="D56" s="26" t="s">
        <v>72</v>
      </c>
      <c r="E56" s="26" t="s">
        <v>129</v>
      </c>
      <c r="F56" s="46" t="s">
        <v>333</v>
      </c>
      <c r="G56" s="26" t="s">
        <v>163</v>
      </c>
      <c r="H56" s="26" t="s">
        <v>241</v>
      </c>
      <c r="I56" s="26" t="s">
        <v>334</v>
      </c>
      <c r="J56" s="26" t="s">
        <v>289</v>
      </c>
      <c r="K56" s="48" t="s">
        <v>334</v>
      </c>
      <c r="L56" s="26">
        <v>2</v>
      </c>
      <c r="M56" s="26">
        <f>L56*5</f>
        <v>10</v>
      </c>
      <c r="N56" s="26">
        <v>20</v>
      </c>
      <c r="O56" s="53" t="s">
        <v>336</v>
      </c>
      <c r="P56" s="27">
        <v>2.1299999999999999E-2</v>
      </c>
      <c r="Q56" s="27">
        <f>P56*N56</f>
        <v>0.42599999999999999</v>
      </c>
      <c r="R56" s="26"/>
      <c r="S56" s="45"/>
    </row>
    <row r="57" spans="1:19" ht="24" x14ac:dyDescent="0.25">
      <c r="A57" s="1"/>
      <c r="B57" s="36">
        <f t="shared" si="0"/>
        <v>48</v>
      </c>
      <c r="C57" s="41" t="s">
        <v>23</v>
      </c>
      <c r="D57" s="38" t="s">
        <v>73</v>
      </c>
      <c r="E57" s="38" t="s">
        <v>130</v>
      </c>
      <c r="F57" s="38" t="s">
        <v>164</v>
      </c>
      <c r="G57" s="38" t="s">
        <v>209</v>
      </c>
      <c r="H57" s="38" t="s">
        <v>242</v>
      </c>
      <c r="I57" s="26" t="s">
        <v>334</v>
      </c>
      <c r="J57" s="38" t="s">
        <v>290</v>
      </c>
      <c r="K57" s="49" t="s">
        <v>334</v>
      </c>
      <c r="L57" s="38">
        <v>2</v>
      </c>
      <c r="M57" s="38">
        <f t="shared" ref="M57" si="44">L57*5</f>
        <v>10</v>
      </c>
      <c r="N57" s="38">
        <v>11</v>
      </c>
      <c r="O57" s="54" t="s">
        <v>336</v>
      </c>
      <c r="P57" s="39">
        <v>1.0006999999999999</v>
      </c>
      <c r="Q57" s="39">
        <f t="shared" ref="Q57" si="45">P57*N57</f>
        <v>11.0077</v>
      </c>
      <c r="R57" s="70" t="s">
        <v>344</v>
      </c>
      <c r="S57" s="45"/>
    </row>
    <row r="58" spans="1:19" ht="24" x14ac:dyDescent="0.25">
      <c r="A58" s="1"/>
      <c r="B58" s="35">
        <f>ROW(B58) - ROW($B$9)</f>
        <v>49</v>
      </c>
      <c r="C58" s="40" t="s">
        <v>23</v>
      </c>
      <c r="D58" s="26" t="s">
        <v>74</v>
      </c>
      <c r="E58" s="26" t="s">
        <v>131</v>
      </c>
      <c r="F58" s="26" t="s">
        <v>165</v>
      </c>
      <c r="G58" s="26" t="s">
        <v>210</v>
      </c>
      <c r="H58" s="26" t="s">
        <v>243</v>
      </c>
      <c r="I58" s="38" t="s">
        <v>334</v>
      </c>
      <c r="J58" s="26" t="s">
        <v>291</v>
      </c>
      <c r="K58" s="48" t="s">
        <v>334</v>
      </c>
      <c r="L58" s="26">
        <v>1</v>
      </c>
      <c r="M58" s="26">
        <f>L58*5</f>
        <v>5</v>
      </c>
      <c r="N58" s="26">
        <v>10</v>
      </c>
      <c r="O58" s="53" t="s">
        <v>336</v>
      </c>
      <c r="P58" s="27">
        <v>0.16209999999999999</v>
      </c>
      <c r="Q58" s="27">
        <f>P58*N58</f>
        <v>1.621</v>
      </c>
      <c r="R58" s="26"/>
      <c r="S58" s="45"/>
    </row>
    <row r="59" spans="1:19" x14ac:dyDescent="0.25">
      <c r="A59" s="1"/>
      <c r="B59" s="36">
        <f t="shared" si="0"/>
        <v>50</v>
      </c>
      <c r="C59" s="41" t="s">
        <v>23</v>
      </c>
      <c r="D59" s="38" t="s">
        <v>75</v>
      </c>
      <c r="E59" s="38" t="s">
        <v>132</v>
      </c>
      <c r="F59" s="38" t="s">
        <v>166</v>
      </c>
      <c r="G59" s="38" t="s">
        <v>211</v>
      </c>
      <c r="H59" s="38" t="s">
        <v>244</v>
      </c>
      <c r="I59" s="26" t="s">
        <v>334</v>
      </c>
      <c r="J59" s="38" t="s">
        <v>292</v>
      </c>
      <c r="K59" s="49" t="s">
        <v>334</v>
      </c>
      <c r="L59" s="38">
        <v>1</v>
      </c>
      <c r="M59" s="38">
        <f t="shared" ref="M59" si="46">L59*5</f>
        <v>5</v>
      </c>
      <c r="N59" s="38">
        <v>6</v>
      </c>
      <c r="O59" s="54" t="s">
        <v>336</v>
      </c>
      <c r="P59" s="39">
        <v>7.8670999999999998</v>
      </c>
      <c r="Q59" s="39">
        <f t="shared" ref="Q59" si="47">P59*N59</f>
        <v>47.202599999999997</v>
      </c>
      <c r="R59" s="51"/>
      <c r="S59" s="45"/>
    </row>
    <row r="60" spans="1:19" ht="24" x14ac:dyDescent="0.25">
      <c r="A60" s="1"/>
      <c r="B60" s="35">
        <f>ROW(B60) - ROW($B$9)</f>
        <v>51</v>
      </c>
      <c r="C60" s="40" t="s">
        <v>23</v>
      </c>
      <c r="D60" s="26" t="s">
        <v>76</v>
      </c>
      <c r="E60" s="26" t="s">
        <v>133</v>
      </c>
      <c r="F60" s="26" t="s">
        <v>167</v>
      </c>
      <c r="G60" s="26" t="s">
        <v>212</v>
      </c>
      <c r="H60" s="26" t="s">
        <v>245</v>
      </c>
      <c r="I60" s="38" t="s">
        <v>334</v>
      </c>
      <c r="J60" s="26" t="s">
        <v>293</v>
      </c>
      <c r="K60" s="48" t="s">
        <v>334</v>
      </c>
      <c r="L60" s="26">
        <v>1</v>
      </c>
      <c r="M60" s="26">
        <f>L60*5</f>
        <v>5</v>
      </c>
      <c r="N60" s="26">
        <v>6</v>
      </c>
      <c r="O60" s="53" t="s">
        <v>336</v>
      </c>
      <c r="P60" s="27">
        <v>14.3</v>
      </c>
      <c r="Q60" s="27">
        <f>P60*N60</f>
        <v>85.800000000000011</v>
      </c>
      <c r="R60" s="26"/>
      <c r="S60" s="45"/>
    </row>
    <row r="61" spans="1:19" x14ac:dyDescent="0.25">
      <c r="A61" s="1"/>
      <c r="B61" s="36">
        <f t="shared" si="0"/>
        <v>52</v>
      </c>
      <c r="C61" s="41" t="s">
        <v>23</v>
      </c>
      <c r="D61" s="38" t="s">
        <v>77</v>
      </c>
      <c r="E61" s="38" t="s">
        <v>134</v>
      </c>
      <c r="F61" s="38" t="s">
        <v>168</v>
      </c>
      <c r="G61" s="38" t="s">
        <v>213</v>
      </c>
      <c r="H61" s="38" t="s">
        <v>242</v>
      </c>
      <c r="I61" s="26" t="s">
        <v>334</v>
      </c>
      <c r="J61" s="38" t="s">
        <v>294</v>
      </c>
      <c r="K61" s="49" t="s">
        <v>334</v>
      </c>
      <c r="L61" s="38">
        <v>2</v>
      </c>
      <c r="M61" s="38">
        <f t="shared" ref="M61" si="48">L61*5</f>
        <v>10</v>
      </c>
      <c r="N61" s="38">
        <v>11</v>
      </c>
      <c r="O61" s="54" t="s">
        <v>336</v>
      </c>
      <c r="P61" s="39">
        <v>0.46939999999999998</v>
      </c>
      <c r="Q61" s="39">
        <f t="shared" ref="Q61" si="49">P61*N61</f>
        <v>5.1634000000000002</v>
      </c>
      <c r="R61" s="38"/>
      <c r="S61" s="45"/>
    </row>
    <row r="62" spans="1:19" ht="24" x14ac:dyDescent="0.25">
      <c r="A62" s="1"/>
      <c r="B62" s="35">
        <f>ROW(B62) - ROW($B$9)</f>
        <v>53</v>
      </c>
      <c r="C62" s="40" t="s">
        <v>23</v>
      </c>
      <c r="D62" s="26" t="s">
        <v>78</v>
      </c>
      <c r="E62" s="26" t="s">
        <v>135</v>
      </c>
      <c r="F62" s="26" t="s">
        <v>169</v>
      </c>
      <c r="G62" s="26" t="s">
        <v>214</v>
      </c>
      <c r="H62" s="26" t="s">
        <v>242</v>
      </c>
      <c r="I62" s="38" t="s">
        <v>334</v>
      </c>
      <c r="J62" s="26" t="s">
        <v>295</v>
      </c>
      <c r="K62" s="48" t="s">
        <v>334</v>
      </c>
      <c r="L62" s="26">
        <v>6</v>
      </c>
      <c r="M62" s="26">
        <f>L62*5</f>
        <v>30</v>
      </c>
      <c r="N62" s="26">
        <v>31</v>
      </c>
      <c r="O62" s="53" t="s">
        <v>336</v>
      </c>
      <c r="P62" s="27">
        <v>0.17299999999999999</v>
      </c>
      <c r="Q62" s="27">
        <f>P62*N62</f>
        <v>5.3629999999999995</v>
      </c>
      <c r="R62" s="69" t="s">
        <v>344</v>
      </c>
      <c r="S62" s="45"/>
    </row>
    <row r="63" spans="1:19" x14ac:dyDescent="0.25">
      <c r="A63" s="1"/>
      <c r="B63" s="36">
        <f t="shared" si="0"/>
        <v>54</v>
      </c>
      <c r="C63" s="41" t="s">
        <v>23</v>
      </c>
      <c r="D63" s="38" t="s">
        <v>79</v>
      </c>
      <c r="E63" s="38" t="s">
        <v>136</v>
      </c>
      <c r="F63" s="38" t="s">
        <v>170</v>
      </c>
      <c r="G63" s="38" t="s">
        <v>215</v>
      </c>
      <c r="H63" s="38" t="s">
        <v>246</v>
      </c>
      <c r="I63" s="26" t="s">
        <v>334</v>
      </c>
      <c r="J63" s="38" t="s">
        <v>296</v>
      </c>
      <c r="K63" s="49" t="s">
        <v>334</v>
      </c>
      <c r="L63" s="38">
        <v>6</v>
      </c>
      <c r="M63" s="38">
        <f t="shared" ref="M63" si="50">L63*5</f>
        <v>30</v>
      </c>
      <c r="N63" s="38">
        <v>31</v>
      </c>
      <c r="O63" s="54" t="s">
        <v>336</v>
      </c>
      <c r="P63" s="39">
        <v>0.34310000000000002</v>
      </c>
      <c r="Q63" s="39">
        <f t="shared" ref="Q63" si="51">P63*N63</f>
        <v>10.636100000000001</v>
      </c>
      <c r="R63" s="38"/>
      <c r="S63" s="45"/>
    </row>
    <row r="64" spans="1:19" ht="36" x14ac:dyDescent="0.25">
      <c r="A64" s="1"/>
      <c r="B64" s="35">
        <f>ROW(B64) - ROW($B$9)</f>
        <v>55</v>
      </c>
      <c r="C64" s="40" t="s">
        <v>24</v>
      </c>
      <c r="D64" s="26" t="s">
        <v>80</v>
      </c>
      <c r="E64" s="26" t="s">
        <v>137</v>
      </c>
      <c r="F64" s="26" t="s">
        <v>171</v>
      </c>
      <c r="G64" s="26" t="s">
        <v>216</v>
      </c>
      <c r="H64" s="26" t="s">
        <v>247</v>
      </c>
      <c r="I64" s="26" t="s">
        <v>334</v>
      </c>
      <c r="J64" s="26" t="s">
        <v>297</v>
      </c>
      <c r="K64" s="48" t="s">
        <v>334</v>
      </c>
      <c r="L64" s="26">
        <v>1</v>
      </c>
      <c r="M64" s="26">
        <f>L64*5</f>
        <v>5</v>
      </c>
      <c r="N64" s="26">
        <v>10</v>
      </c>
      <c r="O64" s="53" t="s">
        <v>336</v>
      </c>
      <c r="P64" s="27">
        <v>7.8899999999999998E-2</v>
      </c>
      <c r="Q64" s="27">
        <f>P64*N64</f>
        <v>0.78899999999999992</v>
      </c>
      <c r="R64" s="26"/>
      <c r="S64" s="45"/>
    </row>
    <row r="65" spans="1:19" ht="20.25" customHeight="1" thickBot="1" x14ac:dyDescent="0.3">
      <c r="A65" s="1"/>
      <c r="B65" s="35">
        <f t="shared" si="0"/>
        <v>56</v>
      </c>
      <c r="C65" s="41" t="s">
        <v>24</v>
      </c>
      <c r="D65" s="38" t="s">
        <v>81</v>
      </c>
      <c r="E65" s="38" t="s">
        <v>138</v>
      </c>
      <c r="F65" s="46" t="s">
        <v>333</v>
      </c>
      <c r="G65" s="38" t="s">
        <v>217</v>
      </c>
      <c r="H65" s="38" t="s">
        <v>248</v>
      </c>
      <c r="I65" s="26" t="s">
        <v>334</v>
      </c>
      <c r="J65" s="38" t="s">
        <v>298</v>
      </c>
      <c r="K65" s="49" t="s">
        <v>334</v>
      </c>
      <c r="L65" s="38">
        <v>1</v>
      </c>
      <c r="M65" s="38">
        <f t="shared" ref="M65:M73" si="52">L65*5</f>
        <v>5</v>
      </c>
      <c r="N65" s="38">
        <v>6</v>
      </c>
      <c r="O65" s="53" t="s">
        <v>336</v>
      </c>
      <c r="P65" s="27">
        <v>0.2339</v>
      </c>
      <c r="Q65" s="39">
        <f t="shared" ref="Q65:Q73" si="53">P65*N65</f>
        <v>1.4034</v>
      </c>
      <c r="R65" s="38"/>
      <c r="S65" s="28"/>
    </row>
    <row r="66" spans="1:19" s="72" customFormat="1" x14ac:dyDescent="0.25">
      <c r="A66" s="71"/>
      <c r="B66" s="35">
        <v>57</v>
      </c>
      <c r="C66" s="40" t="s">
        <v>375</v>
      </c>
      <c r="D66" s="38" t="s">
        <v>334</v>
      </c>
      <c r="E66" s="38" t="s">
        <v>345</v>
      </c>
      <c r="F66" s="40" t="s">
        <v>334</v>
      </c>
      <c r="G66" s="38" t="s">
        <v>346</v>
      </c>
      <c r="H66" s="38" t="s">
        <v>347</v>
      </c>
      <c r="I66" s="38" t="s">
        <v>334</v>
      </c>
      <c r="J66" s="40" t="s">
        <v>334</v>
      </c>
      <c r="K66" s="40" t="s">
        <v>334</v>
      </c>
      <c r="L66" s="40">
        <v>1</v>
      </c>
      <c r="M66" s="40">
        <f t="shared" si="52"/>
        <v>5</v>
      </c>
      <c r="N66" s="26">
        <v>2</v>
      </c>
      <c r="O66" s="53" t="s">
        <v>373</v>
      </c>
      <c r="P66" s="27">
        <v>630</v>
      </c>
      <c r="Q66" s="39">
        <f>P66*N66</f>
        <v>1260</v>
      </c>
      <c r="R66" s="26"/>
      <c r="S66" s="26"/>
    </row>
    <row r="67" spans="1:19" s="72" customFormat="1" x14ac:dyDescent="0.25">
      <c r="A67" s="71"/>
      <c r="B67" s="35">
        <v>58</v>
      </c>
      <c r="C67" s="40" t="s">
        <v>375</v>
      </c>
      <c r="D67" s="26" t="s">
        <v>334</v>
      </c>
      <c r="E67" s="38" t="s">
        <v>348</v>
      </c>
      <c r="F67" s="38" t="s">
        <v>334</v>
      </c>
      <c r="G67" s="38" t="s">
        <v>349</v>
      </c>
      <c r="H67" s="38" t="s">
        <v>350</v>
      </c>
      <c r="I67" s="26" t="s">
        <v>334</v>
      </c>
      <c r="J67" s="38" t="s">
        <v>334</v>
      </c>
      <c r="K67" s="38" t="s">
        <v>334</v>
      </c>
      <c r="L67" s="41">
        <v>1</v>
      </c>
      <c r="M67" s="40">
        <f t="shared" si="52"/>
        <v>5</v>
      </c>
      <c r="N67" s="26">
        <v>2</v>
      </c>
      <c r="O67" s="53" t="s">
        <v>370</v>
      </c>
      <c r="P67" s="27">
        <v>450</v>
      </c>
      <c r="Q67" s="39">
        <f>P67*N67</f>
        <v>900</v>
      </c>
      <c r="R67" s="26"/>
      <c r="S67" s="26"/>
    </row>
    <row r="68" spans="1:19" s="72" customFormat="1" x14ac:dyDescent="0.25">
      <c r="A68" s="71"/>
      <c r="B68" s="35">
        <v>59</v>
      </c>
      <c r="C68" s="40" t="s">
        <v>375</v>
      </c>
      <c r="D68" s="38" t="s">
        <v>334</v>
      </c>
      <c r="E68" s="38" t="s">
        <v>353</v>
      </c>
      <c r="F68" s="26" t="s">
        <v>334</v>
      </c>
      <c r="G68" s="38" t="s">
        <v>351</v>
      </c>
      <c r="H68" s="38" t="s">
        <v>352</v>
      </c>
      <c r="I68" s="38" t="s">
        <v>334</v>
      </c>
      <c r="J68" s="26" t="s">
        <v>334</v>
      </c>
      <c r="K68" s="26" t="s">
        <v>334</v>
      </c>
      <c r="L68" s="41">
        <v>1</v>
      </c>
      <c r="M68" s="40">
        <f t="shared" si="52"/>
        <v>5</v>
      </c>
      <c r="N68" s="26">
        <v>2</v>
      </c>
      <c r="O68" s="53" t="s">
        <v>371</v>
      </c>
      <c r="P68" s="27">
        <v>60</v>
      </c>
      <c r="Q68" s="39">
        <f t="shared" si="53"/>
        <v>120</v>
      </c>
      <c r="R68" s="26"/>
      <c r="S68" s="26"/>
    </row>
    <row r="69" spans="1:19" s="72" customFormat="1" x14ac:dyDescent="0.25">
      <c r="A69" s="71"/>
      <c r="B69" s="35">
        <v>60</v>
      </c>
      <c r="C69" s="40" t="s">
        <v>375</v>
      </c>
      <c r="D69" s="26" t="s">
        <v>334</v>
      </c>
      <c r="E69" s="38" t="s">
        <v>354</v>
      </c>
      <c r="F69" s="38" t="s">
        <v>334</v>
      </c>
      <c r="G69" s="38" t="s">
        <v>356</v>
      </c>
      <c r="H69" s="38" t="s">
        <v>355</v>
      </c>
      <c r="I69" s="26" t="s">
        <v>334</v>
      </c>
      <c r="J69" s="38" t="s">
        <v>334</v>
      </c>
      <c r="K69" s="38" t="s">
        <v>334</v>
      </c>
      <c r="L69" s="41">
        <v>1</v>
      </c>
      <c r="M69" s="40">
        <f t="shared" si="52"/>
        <v>5</v>
      </c>
      <c r="N69" s="26">
        <v>2</v>
      </c>
      <c r="O69" s="53" t="s">
        <v>371</v>
      </c>
      <c r="P69" s="27">
        <v>50</v>
      </c>
      <c r="Q69" s="39">
        <f t="shared" si="53"/>
        <v>100</v>
      </c>
      <c r="R69" s="26"/>
      <c r="S69" s="26"/>
    </row>
    <row r="70" spans="1:19" s="72" customFormat="1" ht="24" x14ac:dyDescent="0.25">
      <c r="A70" s="71"/>
      <c r="B70" s="35">
        <v>61</v>
      </c>
      <c r="C70" s="40" t="s">
        <v>375</v>
      </c>
      <c r="D70" s="38" t="s">
        <v>334</v>
      </c>
      <c r="E70" s="38" t="s">
        <v>357</v>
      </c>
      <c r="F70" s="26" t="s">
        <v>334</v>
      </c>
      <c r="G70" s="38" t="s">
        <v>359</v>
      </c>
      <c r="H70" s="38" t="s">
        <v>358</v>
      </c>
      <c r="I70" s="38" t="s">
        <v>334</v>
      </c>
      <c r="J70" s="26" t="s">
        <v>334</v>
      </c>
      <c r="K70" s="26" t="s">
        <v>334</v>
      </c>
      <c r="L70" s="41">
        <v>1</v>
      </c>
      <c r="M70" s="40">
        <f t="shared" si="52"/>
        <v>5</v>
      </c>
      <c r="N70" s="26">
        <v>2</v>
      </c>
      <c r="O70" s="53" t="s">
        <v>370</v>
      </c>
      <c r="P70" s="27">
        <v>200</v>
      </c>
      <c r="Q70" s="39">
        <f t="shared" si="53"/>
        <v>400</v>
      </c>
      <c r="R70" s="26"/>
      <c r="S70" s="26"/>
    </row>
    <row r="71" spans="1:19" s="72" customFormat="1" x14ac:dyDescent="0.25">
      <c r="A71" s="71"/>
      <c r="B71" s="35">
        <v>62</v>
      </c>
      <c r="C71" s="40" t="s">
        <v>375</v>
      </c>
      <c r="D71" s="26" t="s">
        <v>334</v>
      </c>
      <c r="E71" s="38" t="s">
        <v>360</v>
      </c>
      <c r="F71" s="38" t="s">
        <v>334</v>
      </c>
      <c r="G71" s="38" t="s">
        <v>366</v>
      </c>
      <c r="H71" s="38" t="s">
        <v>365</v>
      </c>
      <c r="I71" s="26" t="s">
        <v>334</v>
      </c>
      <c r="J71" s="38" t="s">
        <v>334</v>
      </c>
      <c r="K71" s="38" t="s">
        <v>334</v>
      </c>
      <c r="L71" s="41">
        <v>1</v>
      </c>
      <c r="M71" s="40">
        <f t="shared" si="52"/>
        <v>5</v>
      </c>
      <c r="N71" s="26">
        <v>4</v>
      </c>
      <c r="O71" s="53" t="s">
        <v>371</v>
      </c>
      <c r="P71" s="27">
        <v>5.5</v>
      </c>
      <c r="Q71" s="39">
        <f t="shared" si="53"/>
        <v>22</v>
      </c>
      <c r="R71" s="26"/>
      <c r="S71" s="26"/>
    </row>
    <row r="72" spans="1:19" s="72" customFormat="1" ht="30" x14ac:dyDescent="0.25">
      <c r="A72" s="71"/>
      <c r="B72" s="35">
        <v>63</v>
      </c>
      <c r="C72" s="40" t="s">
        <v>375</v>
      </c>
      <c r="D72" s="26" t="s">
        <v>334</v>
      </c>
      <c r="E72" s="38" t="s">
        <v>361</v>
      </c>
      <c r="F72" s="26" t="s">
        <v>334</v>
      </c>
      <c r="G72" s="38" t="s">
        <v>367</v>
      </c>
      <c r="H72" s="38" t="s">
        <v>368</v>
      </c>
      <c r="I72" s="26" t="s">
        <v>334</v>
      </c>
      <c r="J72" s="26" t="s">
        <v>334</v>
      </c>
      <c r="K72" s="26" t="s">
        <v>334</v>
      </c>
      <c r="L72" s="41">
        <v>1</v>
      </c>
      <c r="M72" s="40">
        <f t="shared" si="52"/>
        <v>5</v>
      </c>
      <c r="N72" s="26">
        <v>2</v>
      </c>
      <c r="O72" s="53" t="s">
        <v>372</v>
      </c>
      <c r="P72" s="27">
        <v>40</v>
      </c>
      <c r="Q72" s="39">
        <f t="shared" si="53"/>
        <v>80</v>
      </c>
      <c r="R72" s="26"/>
      <c r="S72" s="26"/>
    </row>
    <row r="73" spans="1:19" s="72" customFormat="1" ht="15.75" thickBot="1" x14ac:dyDescent="0.3">
      <c r="A73" s="71"/>
      <c r="B73" s="35">
        <v>63</v>
      </c>
      <c r="C73" s="40" t="s">
        <v>375</v>
      </c>
      <c r="D73" s="41" t="s">
        <v>334</v>
      </c>
      <c r="E73" s="38" t="s">
        <v>362</v>
      </c>
      <c r="F73" s="26" t="s">
        <v>334</v>
      </c>
      <c r="G73" s="38" t="s">
        <v>364</v>
      </c>
      <c r="H73" s="38" t="s">
        <v>363</v>
      </c>
      <c r="I73" s="41" t="s">
        <v>334</v>
      </c>
      <c r="J73" s="26" t="s">
        <v>334</v>
      </c>
      <c r="K73" s="26" t="s">
        <v>334</v>
      </c>
      <c r="L73" s="41">
        <v>1</v>
      </c>
      <c r="M73" s="40">
        <f t="shared" si="52"/>
        <v>5</v>
      </c>
      <c r="N73" s="26">
        <v>5</v>
      </c>
      <c r="O73" s="53" t="s">
        <v>370</v>
      </c>
      <c r="P73" s="27">
        <v>135</v>
      </c>
      <c r="Q73" s="39">
        <f t="shared" si="53"/>
        <v>675</v>
      </c>
      <c r="R73" s="26"/>
      <c r="S73" s="26"/>
    </row>
    <row r="74" spans="1:19" ht="19.5" thickBot="1" x14ac:dyDescent="0.3">
      <c r="A74" s="1"/>
      <c r="B74" s="29"/>
      <c r="C74" s="30"/>
      <c r="D74" s="31"/>
      <c r="E74" s="32"/>
      <c r="F74" s="32"/>
      <c r="G74" s="33"/>
      <c r="H74" s="34"/>
      <c r="I74" s="33"/>
      <c r="J74" s="34"/>
      <c r="K74" s="33"/>
      <c r="L74" s="34"/>
      <c r="M74" s="34"/>
      <c r="N74" s="75" t="s">
        <v>5</v>
      </c>
      <c r="O74" s="76"/>
      <c r="P74" s="77"/>
      <c r="Q74" s="55">
        <f>SUM(Q10:Q73)</f>
        <v>3792.6044999999999</v>
      </c>
      <c r="R74" s="84"/>
      <c r="S74" s="85"/>
    </row>
    <row r="75" spans="1:19" ht="19.5" thickBot="1" x14ac:dyDescent="0.3">
      <c r="A75" s="1"/>
      <c r="B75" s="20"/>
      <c r="C75" s="25"/>
      <c r="D75" s="6"/>
      <c r="E75" s="7"/>
      <c r="F75" s="7"/>
      <c r="G75" s="7"/>
      <c r="H75" s="7"/>
      <c r="I75" s="7"/>
      <c r="J75" s="7"/>
      <c r="K75" s="7"/>
      <c r="L75" s="7"/>
      <c r="M75" s="7"/>
      <c r="N75" s="75" t="s">
        <v>6</v>
      </c>
      <c r="O75" s="76"/>
      <c r="P75" s="77"/>
      <c r="Q75" s="55">
        <f>Q74/5</f>
        <v>758.52089999999998</v>
      </c>
      <c r="R75" s="86"/>
      <c r="S75" s="87"/>
    </row>
  </sheetData>
  <mergeCells count="5">
    <mergeCell ref="L1:T1"/>
    <mergeCell ref="N74:P74"/>
    <mergeCell ref="N75:P75"/>
    <mergeCell ref="R2:S8"/>
    <mergeCell ref="R74:S75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1" r:id="rId12"/>
    <hyperlink ref="O22" r:id="rId13"/>
    <hyperlink ref="O23" r:id="rId14"/>
    <hyperlink ref="O24" r:id="rId15"/>
    <hyperlink ref="O25" r:id="rId16"/>
    <hyperlink ref="O26" r:id="rId17"/>
    <hyperlink ref="O27" r:id="rId18"/>
    <hyperlink ref="O28" r:id="rId19"/>
    <hyperlink ref="O30" r:id="rId20"/>
    <hyperlink ref="O31" r:id="rId21"/>
    <hyperlink ref="O32" r:id="rId22"/>
    <hyperlink ref="O33" r:id="rId23"/>
    <hyperlink ref="O34" r:id="rId24"/>
    <hyperlink ref="O35" r:id="rId25"/>
    <hyperlink ref="O36" r:id="rId26"/>
    <hyperlink ref="O37" r:id="rId27"/>
    <hyperlink ref="O38" r:id="rId28"/>
    <hyperlink ref="O39" r:id="rId29"/>
    <hyperlink ref="O40" r:id="rId30"/>
    <hyperlink ref="O42" r:id="rId31"/>
    <hyperlink ref="O43" r:id="rId32"/>
    <hyperlink ref="O44" r:id="rId33"/>
    <hyperlink ref="O45" r:id="rId34"/>
    <hyperlink ref="O46" r:id="rId35"/>
    <hyperlink ref="O47" r:id="rId36"/>
    <hyperlink ref="O48" r:id="rId37"/>
    <hyperlink ref="O49" r:id="rId38"/>
    <hyperlink ref="O51" r:id="rId39"/>
    <hyperlink ref="O50" r:id="rId40"/>
    <hyperlink ref="O52" r:id="rId41"/>
    <hyperlink ref="O53" r:id="rId42"/>
    <hyperlink ref="O54" r:id="rId43"/>
    <hyperlink ref="O56" r:id="rId44"/>
    <hyperlink ref="O57" r:id="rId45"/>
    <hyperlink ref="O58" r:id="rId46"/>
    <hyperlink ref="O59" r:id="rId47"/>
    <hyperlink ref="O60" r:id="rId48"/>
    <hyperlink ref="O61" r:id="rId49"/>
    <hyperlink ref="O62" r:id="rId50"/>
    <hyperlink ref="O63" r:id="rId51"/>
    <hyperlink ref="O64" r:id="rId52"/>
    <hyperlink ref="O65" r:id="rId53"/>
    <hyperlink ref="O68" r:id="rId54"/>
    <hyperlink ref="O69" r:id="rId55"/>
    <hyperlink ref="O70" r:id="rId56"/>
    <hyperlink ref="O71" r:id="rId57"/>
    <hyperlink ref="O72" r:id="rId58"/>
    <hyperlink ref="O73" r:id="rId59"/>
    <hyperlink ref="O67" r:id="rId60"/>
    <hyperlink ref="O66" r:id="rId61"/>
  </hyperlinks>
  <pageMargins left="0.7" right="0.7" top="0.75" bottom="0.75" header="0.3" footer="0.3"/>
  <pageSetup paperSize="9" orientation="portrait" r:id="rId62"/>
  <drawing r:id="rId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2023-06-15T12:51:48Z</dcterms:modified>
</cp:coreProperties>
</file>